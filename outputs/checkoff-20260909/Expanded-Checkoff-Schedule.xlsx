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d2dd5e2e8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9d44442091a74f4a"/>
    <x:sheet xmlns:r="http://schemas.openxmlformats.org/officeDocument/2006/relationships" name="Import" sheetId="2" r:id="Rb7dcfbaf9cef4f34"/>
    <x:sheet xmlns:r="http://schemas.openxmlformats.org/officeDocument/2006/relationships" name="Loan schedules" sheetId="3" r:id="Rb118f4a47694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@"/>
    <x:numFmt numFmtId="202" formatCode="0.00"/>
    <x:numFmt numFmtId="203" formatCode="dd mmm yyyy"/>
  </x:numFmts>
  <x:fonts count="6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30A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a90a407ab4154" /><Relationship Type="http://schemas.openxmlformats.org/officeDocument/2006/relationships/theme" Target="/xl/theme/theme1.xml" Id="R83f321fd3b0a46c0" /><Relationship Type="http://schemas.openxmlformats.org/officeDocument/2006/relationships/sharedStrings" Target="/xl/sharedStrings.xml" Id="Rcb08716772484bd7" /><Relationship Type="http://schemas.openxmlformats.org/officeDocument/2006/relationships/worksheet" Target="/xl/worksheets/sheet1.xml" Id="R9d44442091a74f4a" /><Relationship Type="http://schemas.openxmlformats.org/officeDocument/2006/relationships/worksheet" Target="/xl/worksheets/sheet2.xml" Id="Rb7dcfbaf9cef4f34" /><Relationship Type="http://schemas.openxmlformats.org/officeDocument/2006/relationships/worksheet" Target="/xl/worksheets/sheet3.xml" Id="Rb118f4a4769445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27" hidden="0" customWidth="1"/>
    <x:col min="4" max="4" width="25" hidden="0" customWidth="1"/>
    <x:col min="5" max="5" width="20" hidden="0" customWidth="1"/>
    <x:col min="6" max="6" width="21" hidden="0" customWidth="1"/>
    <x:col min="7" max="7" width="18" hidden="0" customWidth="1"/>
    <x:col min="8" max="8" width="23" hidden="0" customWidth="1"/>
    <x:col min="9" max="9" width="22" hidden="0" customWidth="1"/>
    <x:col min="10" max="10" width="27" hidden="0" customWidth="1"/>
    <x:col min="11" max="11" width="61" hidden="0" customWidth="1"/>
    <x:col min="12" max="12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4" t="str">
        <x:v>Checkoff contributions and loan repayments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8" customHeight="1">
      <x:c r="A4" s="2" t="str">
        <x:v>Accounts covered</x:v>
      </x:c>
      <x:c r="B4" s="2" t="n">
        <x:v>21</x:v>
      </x:c>
      <x:c r="C4" s="2"/>
      <x:c r="D4" s="2" t="str">
        <x:v>Proposed total</x:v>
      </x:c>
      <x:c r="E4" s="5" t="n">
        <x:f>SUM(I11:I31)</x:f>
        <x:v>95858.32</x:v>
      </x:c>
      <x:c r="F4" s="2"/>
      <x:c r="G4" s="2" t="str">
        <x:v>Missing amounts</x:v>
      </x:c>
      <x:c r="H4" s="2" t="n">
        <x:f>COUNTBLANK(I11:I31)</x:f>
        <x:v>18</x:v>
      </x:c>
      <x:c r="I4" s="2"/>
      <x:c r="J4" s="2"/>
      <x:c r="K4" s="2"/>
      <x:c r="L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8" customHeight="1">
      <x:c r="A6" s="2" t="str">
        <x:v>Enter agreed contribution amounts in amber cells (column I). Unconfigured amounts are blank; no test amounts are assumed.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8" customHeight="1">
      <x:c r="A7" s="2" t="str">
        <x:v>Loan amounts shown are configured instalments, not evidence of payments received. Payout/Schedule triggers are shown on Loan schedules.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8" customHeight="1">
      <x:c r="A8" s="2" t="str">
        <x:v>Import is a working export view. Keep only completed rows, resolve payroll issues, remove blank rows and save that sheet as CSV before upload.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8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42" customHeight="1">
      <x:c r="A10" s="10" t="str">
        <x:v>Member</x:v>
      </x:c>
      <x:c r="B10" s="10" t="str">
        <x:v>Payroll Number</x:v>
      </x:c>
      <x:c r="C10" s="10" t="str">
        <x:v>Account Number</x:v>
      </x:c>
      <x:c r="D10" s="10" t="str">
        <x:v>Product</x:v>
      </x:c>
      <x:c r="E10" s="10" t="str">
        <x:v>Entry Type</x:v>
      </x:c>
      <x:c r="F10" s="10" t="str">
        <x:v>Principal / Deposit Balance</x:v>
      </x:c>
      <x:c r="G10" s="10" t="str">
        <x:v>Loan Interest Balance</x:v>
      </x:c>
      <x:c r="H10" s="10" t="str">
        <x:v>Configured Repayment</x:v>
      </x:c>
      <x:c r="I10" s="10" t="str">
        <x:v>Proposed Contribution</x:v>
      </x:c>
      <x:c r="J10" s="10" t="str">
        <x:v>Import Status</x:v>
      </x:c>
      <x:c r="K10" s="10" t="str">
        <x:v>Amount Basis / Action</x:v>
      </x:c>
      <x:c r="L10" s="10" t="str">
        <x:v>Payroll Matches</x:v>
      </x:c>
    </x:row>
    <x:row r="11" ht="49" customHeight="1">
      <x:c r="A11" s="2" t="str">
        <x:v>Mr Alfred Otieno</x:v>
      </x:c>
      <x:c r="B11" s="11" t="str">
        <x:v>999887565</x:v>
      </x:c>
      <x:c r="C11" s="11" t="str">
        <x:v>001-0000007-002-002</x:v>
      </x:c>
      <x:c r="D11" s="2" t="str">
        <x:v>SUPA SAVER LOAN</x:v>
      </x:c>
      <x:c r="E11" s="2" t="str">
        <x:v>sLoanInterest</x:v>
      </x:c>
      <x:c r="F11" s="5" t="n">
        <x:v>0</x:v>
      </x:c>
      <x:c r="G11" s="5" t="n">
        <x:v>0</x:v>
      </x:c>
      <x:c r="H11" s="5" t="n">
        <x:v>23333.33</x:v>
      </x:c>
      <x:c r="I11" s="12"/>
      <x:c r="J11" s="2" t="str">
        <x:f>IF(B11="","Missing payroll",IF(L11&lt;&gt;1,"Payroll match issue",IF(AND(E11="sLoanInterest",SUM(F11:G11)=0),"Exclude: zero balance",IF(I11="","Amount needed",IF(I11&lt;=0,"Exclude: no contribution",IF(AND(E11="sLoanInterest",I11&gt;SUM(F11:G11)),"Exceeds loan balance","Amount entered"))))))</x:f>
        <x:v>Exclude: zero balance</x:v>
      </x:c>
      <x:c r="K11" s="13" t="str">
        <x:v>No outstanding loan balance. Leave out of this deduction.</x:v>
      </x:c>
      <x:c r="L11" s="2" t="n">
        <x:v>1</x:v>
      </x:c>
    </x:row>
    <x:row r="12" ht="49" customHeight="1">
      <x:c r="A12" s="2" t="str">
        <x:v>Mr Dorothy Mogoi</x:v>
      </x:c>
      <x:c r="B12" s="11" t="str">
        <x:v>0007998</x:v>
      </x:c>
      <x:c r="C12" s="11" t="str">
        <x:v>001-0000003-002-001</x:v>
      </x:c>
      <x:c r="D12" s="2" t="str">
        <x:v>SALARY ADVANCE</x:v>
      </x:c>
      <x:c r="E12" s="2" t="str">
        <x:v>sLoanInterest</x:v>
      </x:c>
      <x:c r="F12" s="5" t="n">
        <x:v>65000</x:v>
      </x:c>
      <x:c r="G12" s="5" t="n">
        <x:v>0</x:v>
      </x:c>
      <x:c r="H12" s="5" t="n">
        <x:v>65021.66</x:v>
      </x:c>
      <x:c r="I12" s="12" t="n">
        <x:v>65000</x:v>
      </x:c>
      <x:c r="J12" s="2" t="str">
        <x:f>IF(B12="","Missing payroll",IF(L12&lt;&gt;1,"Payroll match issue",IF(AND(E12="sLoanInterest",SUM(F12:G12)=0),"Exclude: zero balance",IF(I12="","Amount needed",IF(I12&lt;=0,"Exclude: no contribution",IF(AND(E12="sLoanInterest",I12&gt;SUM(F12:G12)),"Exceeds loan balance","Amount entered"))))))</x:f>
        <x:v>Amount entered</x:v>
      </x:c>
      <x:c r="K12" s="13" t="str">
        <x:v>Standing-order payment 65021.66; Payout trigger. Capped at current principal plus interest.</x:v>
      </x:c>
      <x:c r="L12" s="2" t="n">
        <x:v>1</x:v>
      </x:c>
    </x:row>
    <x:row r="13" ht="49" customHeight="1">
      <x:c r="A13" s="2" t="str">
        <x:v>Mr Ernest Muriithi</x:v>
      </x:c>
      <x:c r="B13" s="11" t="str">
        <x:v>00998877765l</x:v>
      </x:c>
      <x:c r="C13" s="11" t="str">
        <x:v>001-0000005-002-001</x:v>
      </x:c>
      <x:c r="D13" s="2" t="str">
        <x:v>SALARY ADVANCE</x:v>
      </x:c>
      <x:c r="E13" s="2" t="str">
        <x:v>sLoanInterest</x:v>
      </x:c>
      <x:c r="F13" s="5" t="n">
        <x:v>184000</x:v>
      </x:c>
      <x:c r="G13" s="5" t="n">
        <x:v>0</x:v>
      </x:c>
      <x:c r="H13" s="5"/>
      <x:c r="I13" s="12"/>
      <x:c r="J13" s="2" t="str">
        <x:f>IF(B13="","Missing payroll",IF(L13&lt;&gt;1,"Payroll match issue",IF(AND(E13="sLoanInterest",SUM(F13:G13)=0),"Exclude: zero balance",IF(I13="","Amount needed",IF(I13&lt;=0,"Exclude: no contribution",IF(AND(E13="sLoanInterest",I13&gt;SUM(F13:G13)),"Exceeds loan balance","Amount entered"))))))</x:f>
        <x:v>Amount needed</x:v>
      </x:c>
      <x:c r="K13" s="13" t="str">
        <x:v>Conflicting orders: Payout 85028.33; Schedule 1000.00. Confirm the intended amount.</x:v>
      </x:c>
      <x:c r="L13" s="2" t="n">
        <x:v>1</x:v>
      </x:c>
    </x:row>
    <x:row r="14" ht="49" customHeight="1">
      <x:c r="A14" s="2" t="str">
        <x:v>Mr NAFTALI ODALO</x:v>
      </x:c>
      <x:c r="B14" s="11" t="str">
        <x:v>UIC002</x:v>
      </x:c>
      <x:c r="C14" s="11" t="str">
        <x:v>001-0000009-002-003</x:v>
      </x:c>
      <x:c r="D14" s="2" t="str">
        <x:v>Education Loan</x:v>
      </x:c>
      <x:c r="E14" s="2" t="str">
        <x:v>sLoanInterest</x:v>
      </x:c>
      <x:c r="F14" s="5" t="n">
        <x:v>80000</x:v>
      </x:c>
      <x:c r="G14" s="5" t="n">
        <x:v>0</x:v>
      </x:c>
      <x:c r="H14" s="5" t="n">
        <x:v>7466.66</x:v>
      </x:c>
      <x:c r="I14" s="12" t="n">
        <x:v>7466.66</x:v>
      </x:c>
      <x:c r="J14" s="2" t="str">
        <x:f>IF(B14="","Missing payroll",IF(L14&lt;&gt;1,"Payroll match issue",IF(AND(E14="sLoanInterest",SUM(F14:G14)=0),"Exclude: zero balance",IF(I14="","Amount needed",IF(I14&lt;=0,"Exclude: no contribution",IF(AND(E14="sLoanInterest",I14&gt;SUM(F14:G14)),"Exceeds loan balance","Amount entered"))))))</x:f>
        <x:v>Amount entered</x:v>
      </x:c>
      <x:c r="K14" s="13" t="str">
        <x:v>Standing-order payment 7466.66; Payout trigger.</x:v>
      </x:c>
      <x:c r="L14" s="2" t="n">
        <x:v>1</x:v>
      </x:c>
    </x:row>
    <x:row r="15" ht="49" customHeight="1">
      <x:c r="A15" s="2" t="str">
        <x:v>Mr Seline Kimeli</x:v>
      </x:c>
      <x:c r="B15" s="11" t="str">
        <x:v>333222133</x:v>
      </x:c>
      <x:c r="C15" s="11" t="str">
        <x:v>001-0000002-002-002</x:v>
      </x:c>
      <x:c r="D15" s="2" t="str">
        <x:v>SUPA SAVER LOAN</x:v>
      </x:c>
      <x:c r="E15" s="2" t="str">
        <x:v>sLoanInterest</x:v>
      </x:c>
      <x:c r="F15" s="5" t="n">
        <x:v>70000</x:v>
      </x:c>
      <x:c r="G15" s="5" t="n">
        <x:v>0</x:v>
      </x:c>
      <x:c r="H15" s="5" t="n">
        <x:v>23391.66</x:v>
      </x:c>
      <x:c r="I15" s="12" t="n">
        <x:v>23391.66</x:v>
      </x:c>
      <x:c r="J15" s="2" t="str">
        <x:f>IF(B15="","Missing payroll",IF(L15&lt;&gt;1,"Payroll match issue",IF(AND(E15="sLoanInterest",SUM(F15:G15)=0),"Exclude: zero balance",IF(I15="","Amount needed",IF(I15&lt;=0,"Exclude: no contribution",IF(AND(E15="sLoanInterest",I15&gt;SUM(F15:G15)),"Exceeds loan balance","Amount entered"))))))</x:f>
        <x:v>Amount entered</x:v>
      </x:c>
      <x:c r="K15" s="13" t="str">
        <x:v>Standing-order payment 23391.66; Payout trigger.</x:v>
      </x:c>
      <x:c r="L15" s="2" t="n">
        <x:v>1</x:v>
      </x:c>
    </x:row>
    <x:row r="16" ht="49" customHeight="1">
      <x:c r="A16" s="2" t="str">
        <x:v>Dr Samwel Waruhiu</x:v>
      </x:c>
      <x:c r="B16" s="11" t="str">
        <x:v>KENSN001</x:v>
      </x:c>
      <x:c r="C16" s="11" t="str">
        <x:v>001-0000012-003-001</x:v>
      </x:c>
      <x:c r="D16" s="2" t="str">
        <x:v>Mandatory Share Capital</x:v>
      </x:c>
      <x:c r="E16" s="2" t="str">
        <x:v>sShare</x:v>
      </x:c>
      <x:c r="F16" s="5" t="n">
        <x:v>0</x:v>
      </x:c>
      <x:c r="G16" s="5" t="n">
        <x:v>0</x:v>
      </x:c>
      <x:c r="H16" s="5"/>
      <x:c r="I16" s="12"/>
      <x:c r="J16" s="2" t="str">
        <x:f>IF(B16="","Missing payroll",IF(L16&lt;&gt;1,"Payroll match issue",IF(AND(E16="sLoanInterest",SUM(F16:G16)=0),"Exclude: zero balance",IF(I16="","Amount needed",IF(I16&lt;=0,"Exclude: no contribution",IF(AND(E16="sLoanInterest",I16&gt;SUM(F16:G16)),"Exceeds loan balance","Amount entered"))))))</x:f>
        <x:v>Amount needed</x:v>
      </x:c>
      <x:c r="K16" s="13" t="str">
        <x:v>No standing-order contribution amount configured. Enter agreed deduction.</x:v>
      </x:c>
      <x:c r="L16" s="2" t="n">
        <x:v>1</x:v>
      </x:c>
    </x:row>
    <x:row r="17" ht="49" customHeight="1">
      <x:c r="A17" s="2" t="str">
        <x:v>Dr Samwel Waruhiu</x:v>
      </x:c>
      <x:c r="B17" s="11" t="str">
        <x:v>KENSN001</x:v>
      </x:c>
      <x:c r="C17" s="11" t="str">
        <x:v>001-0000012-003-002</x:v>
      </x:c>
      <x:c r="D17" s="2" t="str">
        <x:v>DEPOSIT CONTRIBUTION</x:v>
      </x:c>
      <x:c r="E17" s="2" t="str">
        <x:v>sInvest</x:v>
      </x:c>
      <x:c r="F17" s="5" t="n">
        <x:v>0</x:v>
      </x:c>
      <x:c r="G17" s="5" t="n">
        <x:v>0</x:v>
      </x:c>
      <x:c r="H17" s="5"/>
      <x:c r="I17" s="12"/>
      <x:c r="J17" s="2" t="str">
        <x:f>IF(B17="","Missing payroll",IF(L17&lt;&gt;1,"Payroll match issue",IF(AND(E17="sLoanInterest",SUM(F17:G17)=0),"Exclude: zero balance",IF(I17="","Amount needed",IF(I17&lt;=0,"Exclude: no contribution",IF(AND(E17="sLoanInterest",I17&gt;SUM(F17:G17)),"Exceeds loan balance","Amount entered"))))))</x:f>
        <x:v>Amount needed</x:v>
      </x:c>
      <x:c r="K17" s="13" t="str">
        <x:v>No standing-order contribution amount configured. Enter agreed deduction.</x:v>
      </x:c>
      <x:c r="L17" s="2" t="n">
        <x:v>1</x:v>
      </x:c>
    </x:row>
    <x:row r="18" ht="49" customHeight="1">
      <x:c r="A18" s="2" t="str">
        <x:v>Dr SAMWEL WARUHIU</x:v>
      </x:c>
      <x:c r="B18" s="11" t="str">
        <x:v>KRA001</x:v>
      </x:c>
      <x:c r="C18" s="11" t="str">
        <x:v>001-0000010-003-001</x:v>
      </x:c>
      <x:c r="D18" s="2" t="str">
        <x:v>Mandatory Share Capital</x:v>
      </x:c>
      <x:c r="E18" s="2" t="str">
        <x:v>sShare</x:v>
      </x:c>
      <x:c r="F18" s="5" t="n">
        <x:v>0</x:v>
      </x:c>
      <x:c r="G18" s="5" t="n">
        <x:v>0</x:v>
      </x:c>
      <x:c r="H18" s="5"/>
      <x:c r="I18" s="12"/>
      <x:c r="J18" s="2" t="str">
        <x:f>IF(B18="","Missing payroll",IF(L18&lt;&gt;1,"Payroll match issue",IF(AND(E18="sLoanInterest",SUM(F18:G18)=0),"Exclude: zero balance",IF(I18="","Amount needed",IF(I18&lt;=0,"Exclude: no contribution",IF(AND(E18="sLoanInterest",I18&gt;SUM(F18:G18)),"Exceeds loan balance","Amount entered"))))))</x:f>
        <x:v>Amount needed</x:v>
      </x:c>
      <x:c r="K18" s="13" t="str">
        <x:v>No standing-order contribution amount configured. Enter agreed deduction.</x:v>
      </x:c>
      <x:c r="L18" s="2" t="n">
        <x:v>1</x:v>
      </x:c>
    </x:row>
    <x:row r="19" ht="49" customHeight="1">
      <x:c r="A19" s="2" t="str">
        <x:v>Dr SAMWEL WARUHIU</x:v>
      </x:c>
      <x:c r="B19" s="11" t="str">
        <x:v>KRA001</x:v>
      </x:c>
      <x:c r="C19" s="11" t="str">
        <x:v>001-0000010-003-002</x:v>
      </x:c>
      <x:c r="D19" s="2" t="str">
        <x:v>DEPOSIT CONTRIBUTION</x:v>
      </x:c>
      <x:c r="E19" s="2" t="str">
        <x:v>sInvest</x:v>
      </x:c>
      <x:c r="F19" s="5" t="n">
        <x:v>0</x:v>
      </x:c>
      <x:c r="G19" s="5" t="n">
        <x:v>0</x:v>
      </x:c>
      <x:c r="H19" s="5"/>
      <x:c r="I19" s="12"/>
      <x:c r="J19" s="2" t="str">
        <x:f>IF(B19="","Missing payroll",IF(L19&lt;&gt;1,"Payroll match issue",IF(AND(E19="sLoanInterest",SUM(F19:G19)=0),"Exclude: zero balance",IF(I19="","Amount needed",IF(I19&lt;=0,"Exclude: no contribution",IF(AND(E19="sLoanInterest",I19&gt;SUM(F19:G19)),"Exceeds loan balance","Amount entered"))))))</x:f>
        <x:v>Amount needed</x:v>
      </x:c>
      <x:c r="K19" s="13" t="str">
        <x:v>No standing-order contribution amount configured. Enter agreed deduction.</x:v>
      </x:c>
      <x:c r="L19" s="2" t="n">
        <x:v>1</x:v>
      </x:c>
    </x:row>
    <x:row r="20" ht="49" customHeight="1">
      <x:c r="A20" s="2" t="str">
        <x:v>Dr Wilfred Wanyoike</x:v>
      </x:c>
      <x:c r="B20" s="11" t="str">
        <x:v>KRA00077</x:v>
      </x:c>
      <x:c r="C20" s="11" t="str">
        <x:v>001-0000011-003-001</x:v>
      </x:c>
      <x:c r="D20" s="2" t="str">
        <x:v>Mandatory Share Capital</x:v>
      </x:c>
      <x:c r="E20" s="2" t="str">
        <x:v>sShare</x:v>
      </x:c>
      <x:c r="F20" s="5" t="n">
        <x:v>0</x:v>
      </x:c>
      <x:c r="G20" s="5" t="n">
        <x:v>0</x:v>
      </x:c>
      <x:c r="H20" s="5"/>
      <x:c r="I20" s="12"/>
      <x:c r="J20" s="2" t="str">
        <x:f>IF(B20="","Missing payroll",IF(L20&lt;&gt;1,"Payroll match issue",IF(AND(E20="sLoanInterest",SUM(F20:G20)=0),"Exclude: zero balance",IF(I20="","Amount needed",IF(I20&lt;=0,"Exclude: no contribution",IF(AND(E20="sLoanInterest",I20&gt;SUM(F20:G20)),"Exceeds loan balance","Amount entered"))))))</x:f>
        <x:v>Amount needed</x:v>
      </x:c>
      <x:c r="K20" s="13" t="str">
        <x:v>No standing-order contribution amount configured. Enter agreed deduction.</x:v>
      </x:c>
      <x:c r="L20" s="2" t="n">
        <x:v>1</x:v>
      </x:c>
    </x:row>
    <x:row r="21" ht="49" customHeight="1">
      <x:c r="A21" s="2" t="str">
        <x:v>Dr Wilfred Wanyoike</x:v>
      </x:c>
      <x:c r="B21" s="11" t="str">
        <x:v>KRA00077</x:v>
      </x:c>
      <x:c r="C21" s="11" t="str">
        <x:v>001-0000011-003-002</x:v>
      </x:c>
      <x:c r="D21" s="2" t="str">
        <x:v>DEPOSIT CONTRIBUTION</x:v>
      </x:c>
      <x:c r="E21" s="2" t="str">
        <x:v>sInvest</x:v>
      </x:c>
      <x:c r="F21" s="5" t="n">
        <x:v>0</x:v>
      </x:c>
      <x:c r="G21" s="5" t="n">
        <x:v>0</x:v>
      </x:c>
      <x:c r="H21" s="5"/>
      <x:c r="I21" s="12"/>
      <x:c r="J21" s="2" t="str">
        <x:f>IF(B21="","Missing payroll",IF(L21&lt;&gt;1,"Payroll match issue",IF(AND(E21="sLoanInterest",SUM(F21:G21)=0),"Exclude: zero balance",IF(I21="","Amount needed",IF(I21&lt;=0,"Exclude: no contribution",IF(AND(E21="sLoanInterest",I21&gt;SUM(F21:G21)),"Exceeds loan balance","Amount entered"))))))</x:f>
        <x:v>Amount needed</x:v>
      </x:c>
      <x:c r="K21" s="13" t="str">
        <x:v>No standing-order contribution amount configured. Enter agreed deduction.</x:v>
      </x:c>
      <x:c r="L21" s="2" t="n">
        <x:v>1</x:v>
      </x:c>
    </x:row>
    <x:row r="22" ht="49" customHeight="1">
      <x:c r="A22" s="2" t="str">
        <x:v>KILIMANI SELF HELP</x:v>
      </x:c>
      <x:c r="B22" s="11" t="str"/>
      <x:c r="C22" s="11" t="str">
        <x:v>001-0000008-003-001</x:v>
      </x:c>
      <x:c r="D22" s="2" t="str">
        <x:v>Mandatory Share Capital</x:v>
      </x:c>
      <x:c r="E22" s="2" t="str">
        <x:v>sShare</x:v>
      </x:c>
      <x:c r="F22" s="5" t="n">
        <x:v>0</x:v>
      </x:c>
      <x:c r="G22" s="5" t="n">
        <x:v>0</x:v>
      </x:c>
      <x:c r="H22" s="5"/>
      <x:c r="I22" s="12"/>
      <x:c r="J22" s="2" t="str">
        <x:f>IF(B22="","Missing payroll",IF(L22&lt;&gt;1,"Payroll match issue",IF(AND(E22="sLoanInterest",SUM(F22:G22)=0),"Exclude: zero balance",IF(I22="","Amount needed",IF(I22&lt;=0,"Exclude: no contribution",IF(AND(E22="sLoanInterest",I22&gt;SUM(F22:G22)),"Exceeds loan balance","Amount entered"))))))</x:f>
        <x:v>Missing payroll</x:v>
      </x:c>
      <x:c r="K22" s="13" t="str">
        <x:v>No standing-order contribution amount configured. Enter agreed deduction. Payroll identifier is missing.</x:v>
      </x:c>
      <x:c r="L22" s="2" t="n">
        <x:v>0</x:v>
      </x:c>
    </x:row>
    <x:row r="23" ht="49" customHeight="1">
      <x:c r="A23" s="2" t="str">
        <x:v>Mr Alfred Otieno</x:v>
      </x:c>
      <x:c r="B23" s="11" t="str">
        <x:v>999887565</x:v>
      </x:c>
      <x:c r="C23" s="11" t="str">
        <x:v>001-0000007-003-001</x:v>
      </x:c>
      <x:c r="D23" s="2" t="str">
        <x:v>Mandatory Share Capital</x:v>
      </x:c>
      <x:c r="E23" s="2" t="str">
        <x:v>sShare</x:v>
      </x:c>
      <x:c r="F23" s="5" t="n">
        <x:v>12000</x:v>
      </x:c>
      <x:c r="G23" s="5" t="n">
        <x:v>0</x:v>
      </x:c>
      <x:c r="H23" s="5"/>
      <x:c r="I23" s="12"/>
      <x:c r="J23" s="2" t="str">
        <x:f>IF(B23="","Missing payroll",IF(L23&lt;&gt;1,"Payroll match issue",IF(AND(E23="sLoanInterest",SUM(F23:G23)=0),"Exclude: zero balance",IF(I23="","Amount needed",IF(I23&lt;=0,"Exclude: no contribution",IF(AND(E23="sLoanInterest",I23&gt;SUM(F23:G23)),"Exceeds loan balance","Amount entered"))))))</x:f>
        <x:v>Amount needed</x:v>
      </x:c>
      <x:c r="K23" s="13" t="str">
        <x:v>No standing-order contribution amount configured. Enter agreed deduction.</x:v>
      </x:c>
      <x:c r="L23" s="2" t="n">
        <x:v>1</x:v>
      </x:c>
    </x:row>
    <x:row r="24" ht="49" customHeight="1">
      <x:c r="A24" s="2" t="str">
        <x:v>Mr Alfred Otieno</x:v>
      </x:c>
      <x:c r="B24" s="11" t="str">
        <x:v>999887565</x:v>
      </x:c>
      <x:c r="C24" s="11" t="str">
        <x:v>001-0000007-003-002</x:v>
      </x:c>
      <x:c r="D24" s="2" t="str">
        <x:v>DEPOSIT CONTRIBUTION</x:v>
      </x:c>
      <x:c r="E24" s="2" t="str">
        <x:v>sInvest</x:v>
      </x:c>
      <x:c r="F24" s="5" t="n">
        <x:v>10000</x:v>
      </x:c>
      <x:c r="G24" s="5" t="n">
        <x:v>0</x:v>
      </x:c>
      <x:c r="H24" s="5"/>
      <x:c r="I24" s="12"/>
      <x:c r="J24" s="2" t="str">
        <x:f>IF(B24="","Missing payroll",IF(L24&lt;&gt;1,"Payroll match issue",IF(AND(E24="sLoanInterest",SUM(F24:G24)=0),"Exclude: zero balance",IF(I24="","Amount needed",IF(I24&lt;=0,"Exclude: no contribution",IF(AND(E24="sLoanInterest",I24&gt;SUM(F24:G24)),"Exceeds loan balance","Amount entered"))))))</x:f>
        <x:v>Amount needed</x:v>
      </x:c>
      <x:c r="K24" s="13" t="str">
        <x:v>No standing-order contribution amount configured. Enter agreed deduction.</x:v>
      </x:c>
      <x:c r="L24" s="2" t="n">
        <x:v>1</x:v>
      </x:c>
    </x:row>
    <x:row r="25" ht="49" customHeight="1">
      <x:c r="A25" s="2" t="str">
        <x:v>Mr Dorothy Mogoi</x:v>
      </x:c>
      <x:c r="B25" s="11" t="str">
        <x:v>0007998</x:v>
      </x:c>
      <x:c r="C25" s="11" t="str">
        <x:v>001-0000003-003-002</x:v>
      </x:c>
      <x:c r="D25" s="2" t="str">
        <x:v>DEPOSIT CONTRIBUTION</x:v>
      </x:c>
      <x:c r="E25" s="2" t="str">
        <x:v>sInvest</x:v>
      </x:c>
      <x:c r="F25" s="5" t="n">
        <x:v>10000</x:v>
      </x:c>
      <x:c r="G25" s="5" t="n">
        <x:v>0</x:v>
      </x:c>
      <x:c r="H25" s="5"/>
      <x:c r="I25" s="12"/>
      <x:c r="J25" s="2" t="str">
        <x:f>IF(B25="","Missing payroll",IF(L25&lt;&gt;1,"Payroll match issue",IF(AND(E25="sLoanInterest",SUM(F25:G25)=0),"Exclude: zero balance",IF(I25="","Amount needed",IF(I25&lt;=0,"Exclude: no contribution",IF(AND(E25="sLoanInterest",I25&gt;SUM(F25:G25)),"Exceeds loan balance","Amount entered"))))))</x:f>
        <x:v>Amount needed</x:v>
      </x:c>
      <x:c r="K25" s="13" t="str">
        <x:v>No standing-order contribution amount configured. Enter agreed deduction.</x:v>
      </x:c>
      <x:c r="L25" s="2" t="n">
        <x:v>1</x:v>
      </x:c>
    </x:row>
    <x:row r="26" ht="49" customHeight="1">
      <x:c r="A26" s="2" t="str">
        <x:v>Mr Ernest Muriithi</x:v>
      </x:c>
      <x:c r="B26" s="11" t="str">
        <x:v>00998877765l</x:v>
      </x:c>
      <x:c r="C26" s="11" t="str">
        <x:v>001-0000005-003-001</x:v>
      </x:c>
      <x:c r="D26" s="2" t="str">
        <x:v>Mandatory Share Capital</x:v>
      </x:c>
      <x:c r="E26" s="2" t="str">
        <x:v>sShare</x:v>
      </x:c>
      <x:c r="F26" s="5" t="n">
        <x:v>10000</x:v>
      </x:c>
      <x:c r="G26" s="5" t="n">
        <x:v>0</x:v>
      </x:c>
      <x:c r="H26" s="5"/>
      <x:c r="I26" s="12"/>
      <x:c r="J26" s="2" t="str">
        <x:f>IF(B26="","Missing payroll",IF(L26&lt;&gt;1,"Payroll match issue",IF(AND(E26="sLoanInterest",SUM(F26:G26)=0),"Exclude: zero balance",IF(I26="","Amount needed",IF(I26&lt;=0,"Exclude: no contribution",IF(AND(E26="sLoanInterest",I26&gt;SUM(F26:G26)),"Exceeds loan balance","Amount entered"))))))</x:f>
        <x:v>Amount needed</x:v>
      </x:c>
      <x:c r="K26" s="13" t="str">
        <x:v>No standing-order contribution amount configured. Enter agreed deduction.</x:v>
      </x:c>
      <x:c r="L26" s="2" t="n">
        <x:v>1</x:v>
      </x:c>
    </x:row>
    <x:row r="27" ht="49" customHeight="1">
      <x:c r="A27" s="2" t="str">
        <x:v>Mr Ernest Muriithi</x:v>
      </x:c>
      <x:c r="B27" s="11" t="str">
        <x:v>00998877765l</x:v>
      </x:c>
      <x:c r="C27" s="11" t="str">
        <x:v>001-0000005-003-002</x:v>
      </x:c>
      <x:c r="D27" s="2" t="str">
        <x:v>DEPOSIT CONTRIBUTION</x:v>
      </x:c>
      <x:c r="E27" s="2" t="str">
        <x:v>sInvest</x:v>
      </x:c>
      <x:c r="F27" s="5" t="n">
        <x:v>10000</x:v>
      </x:c>
      <x:c r="G27" s="5" t="n">
        <x:v>0</x:v>
      </x:c>
      <x:c r="H27" s="5"/>
      <x:c r="I27" s="12"/>
      <x:c r="J27" s="2" t="str">
        <x:f>IF(B27="","Missing payroll",IF(L27&lt;&gt;1,"Payroll match issue",IF(AND(E27="sLoanInterest",SUM(F27:G27)=0),"Exclude: zero balance",IF(I27="","Amount needed",IF(I27&lt;=0,"Exclude: no contribution",IF(AND(E27="sLoanInterest",I27&gt;SUM(F27:G27)),"Exceeds loan balance","Amount entered"))))))</x:f>
        <x:v>Amount needed</x:v>
      </x:c>
      <x:c r="K27" s="13" t="str">
        <x:v>No standing-order contribution amount configured. Enter agreed deduction.</x:v>
      </x:c>
      <x:c r="L27" s="2" t="n">
        <x:v>1</x:v>
      </x:c>
    </x:row>
    <x:row r="28" ht="49" customHeight="1">
      <x:c r="A28" s="2" t="str">
        <x:v>Mr Godwell Mogoi</x:v>
      </x:c>
      <x:c r="B28" s="11" t="str">
        <x:v>00098543</x:v>
      </x:c>
      <x:c r="C28" s="11" t="str">
        <x:v>001-0000006-003-002</x:v>
      </x:c>
      <x:c r="D28" s="2" t="str">
        <x:v>DEPOSIT CONTRIBUTION</x:v>
      </x:c>
      <x:c r="E28" s="2" t="str">
        <x:v>sInvest</x:v>
      </x:c>
      <x:c r="F28" s="5" t="n">
        <x:v>0</x:v>
      </x:c>
      <x:c r="G28" s="5" t="n">
        <x:v>0</x:v>
      </x:c>
      <x:c r="H28" s="5"/>
      <x:c r="I28" s="12"/>
      <x:c r="J28" s="2" t="str">
        <x:f>IF(B28="","Missing payroll",IF(L28&lt;&gt;1,"Payroll match issue",IF(AND(E28="sLoanInterest",SUM(F28:G28)=0),"Exclude: zero balance",IF(I28="","Amount needed",IF(I28&lt;=0,"Exclude: no contribution",IF(AND(E28="sLoanInterest",I28&gt;SUM(F28:G28)),"Exceeds loan balance","Amount entered"))))))</x:f>
        <x:v>Amount needed</x:v>
      </x:c>
      <x:c r="K28" s="13" t="str">
        <x:v>No standing-order contribution amount configured. Enter agreed deduction.</x:v>
      </x:c>
      <x:c r="L28" s="2" t="n">
        <x:v>1</x:v>
      </x:c>
    </x:row>
    <x:row r="29" ht="49" customHeight="1">
      <x:c r="A29" s="2" t="str">
        <x:v>Mr NAFTALI ODALO</x:v>
      </x:c>
      <x:c r="B29" s="11" t="str">
        <x:v>UIC002</x:v>
      </x:c>
      <x:c r="C29" s="11" t="str">
        <x:v>001-0000009-003-001</x:v>
      </x:c>
      <x:c r="D29" s="2" t="str">
        <x:v>Mandatory Share Capital</x:v>
      </x:c>
      <x:c r="E29" s="2" t="str">
        <x:v>sShare</x:v>
      </x:c>
      <x:c r="F29" s="5" t="n">
        <x:v>0</x:v>
      </x:c>
      <x:c r="G29" s="5" t="n">
        <x:v>0</x:v>
      </x:c>
      <x:c r="H29" s="5"/>
      <x:c r="I29" s="12"/>
      <x:c r="J29" s="2" t="str">
        <x:f>IF(B29="","Missing payroll",IF(L29&lt;&gt;1,"Payroll match issue",IF(AND(E29="sLoanInterest",SUM(F29:G29)=0),"Exclude: zero balance",IF(I29="","Amount needed",IF(I29&lt;=0,"Exclude: no contribution",IF(AND(E29="sLoanInterest",I29&gt;SUM(F29:G29)),"Exceeds loan balance","Amount entered"))))))</x:f>
        <x:v>Amount needed</x:v>
      </x:c>
      <x:c r="K29" s="13" t="str">
        <x:v>No standing-order contribution amount configured. Enter agreed deduction.</x:v>
      </x:c>
      <x:c r="L29" s="2" t="n">
        <x:v>1</x:v>
      </x:c>
    </x:row>
    <x:row r="30" ht="49" customHeight="1">
      <x:c r="A30" s="2" t="str">
        <x:v>Mr NAFTALI ODALO</x:v>
      </x:c>
      <x:c r="B30" s="11" t="str">
        <x:v>UIC002</x:v>
      </x:c>
      <x:c r="C30" s="11" t="str">
        <x:v>001-0000009-003-002</x:v>
      </x:c>
      <x:c r="D30" s="2" t="str">
        <x:v>DEPOSIT CONTRIBUTION</x:v>
      </x:c>
      <x:c r="E30" s="2" t="str">
        <x:v>sInvest</x:v>
      </x:c>
      <x:c r="F30" s="5" t="n">
        <x:v>10000</x:v>
      </x:c>
      <x:c r="G30" s="5" t="n">
        <x:v>0</x:v>
      </x:c>
      <x:c r="H30" s="5"/>
      <x:c r="I30" s="12"/>
      <x:c r="J30" s="2" t="str">
        <x:f>IF(B30="","Missing payroll",IF(L30&lt;&gt;1,"Payroll match issue",IF(AND(E30="sLoanInterest",SUM(F30:G30)=0),"Exclude: zero balance",IF(I30="","Amount needed",IF(I30&lt;=0,"Exclude: no contribution",IF(AND(E30="sLoanInterest",I30&gt;SUM(F30:G30)),"Exceeds loan balance","Amount entered"))))))</x:f>
        <x:v>Amount needed</x:v>
      </x:c>
      <x:c r="K30" s="13" t="str">
        <x:v>No standing-order contribution amount configured. Enter agreed deduction.</x:v>
      </x:c>
      <x:c r="L30" s="2" t="n">
        <x:v>1</x:v>
      </x:c>
    </x:row>
    <x:row r="31" ht="49" customHeight="1">
      <x:c r="A31" s="2" t="str">
        <x:v>Mr Seline Kimeli</x:v>
      </x:c>
      <x:c r="B31" s="11" t="str">
        <x:v>333222133</x:v>
      </x:c>
      <x:c r="C31" s="11" t="str">
        <x:v>001-0000002-003-001</x:v>
      </x:c>
      <x:c r="D31" s="2" t="str">
        <x:v>Mandatory Share Capital</x:v>
      </x:c>
      <x:c r="E31" s="2" t="str">
        <x:v>sShare</x:v>
      </x:c>
      <x:c r="F31" s="5" t="n">
        <x:v>10000</x:v>
      </x:c>
      <x:c r="G31" s="5" t="n">
        <x:v>0</x:v>
      </x:c>
      <x:c r="H31" s="5"/>
      <x:c r="I31" s="12"/>
      <x:c r="J31" s="2" t="str">
        <x:f>IF(B31="","Missing payroll",IF(L31&lt;&gt;1,"Payroll match issue",IF(AND(E31="sLoanInterest",SUM(F31:G31)=0),"Exclude: zero balance",IF(I31="","Amount needed",IF(I31&lt;=0,"Exclude: no contribution",IF(AND(E31="sLoanInterest",I31&gt;SUM(F31:G31)),"Exceeds loan balance","Amount entered"))))))</x:f>
        <x:v>Amount needed</x:v>
      </x:c>
      <x:c r="K31" s="13" t="str">
        <x:v>No standing-order contribution amount configured. Enter agreed deduction.</x:v>
      </x:c>
      <x:c r="L31" s="2" t="n">
        <x:v>1</x:v>
      </x:c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8" customHeight="1">
      <x:c r="A34" s="2" t="str">
        <x:v>Source: localhost:58240 development data, inspected 9 September 2026. Loan schedules: standing orders. Balances: sp_CustomerAccountBalance.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8" customHeight="1">
      <x:c r="A35" s="2" t="str">
        <x:v>Includes 5 loan accounts and 16 investment/contribution accounts. Ordinary savings accounts are outside this Check-Off product mapping.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8" customHeight="1">
      <x:c r="A36" s="2" t="str">
        <x:v>The 400 test CSV from the earlier message does not use scheduled repayments. This workbook supersedes it for planning deductions.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8" customHeight="1">
      <x:c r="A37" s="2" t="str">
        <x:v>Payroll Numbers are now used for matching. Do not change Personal File Number / Reference 3 to prepare this import.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</x:sheetData>
  <x:conditionalFormatting sqref="J11:J31">
    <x:cfRule type="containsText" dxfId="0" priority="1" operator="containsText" text="needed"/>
    <x:cfRule type="containsText" dxfId="1" priority="2" operator="containsText" text="Miss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3" hidden="0" customWidth="1"/>
    <x:col min="5" max="5" width="28" hidden="0" customWidth="1"/>
    <x:col min="6" max="6" width="23" hidden="0" customWidth="1"/>
    <x:col min="7" max="7" width="20" hidden="0" customWidth="1"/>
    <x:col min="8" max="8" width="25" hidden="0" customWidth="1"/>
  </x:cols>
  <x:sheetData>
    <x:row r="1" ht="42" customHeight="1">
      <x:c r="A1" s="10" t="str">
        <x:v>Department</x:v>
      </x:c>
      <x:c r="B1" s="10" t="str">
        <x:v>Payroll Number</x:v>
      </x:c>
      <x:c r="C1" s="10" t="str">
        <x:v>Contribution</x:v>
      </x:c>
      <x:c r="D1" s="10" t="str">
        <x:v>Product Balance</x:v>
      </x:c>
      <x:c r="E1" s="10" t="str">
        <x:v>Beneficiary</x:v>
      </x:c>
      <x:c r="F1" s="10" t="str">
        <x:v>Product Credit Code</x:v>
      </x:c>
      <x:c r="G1" s="10" t="str">
        <x:v>Entry Type</x:v>
      </x:c>
      <x:c r="H1" s="10" t="str">
        <x:v>Your Reference</x:v>
      </x:c>
    </x:row>
    <x:row r="2" ht="28" customHeight="1">
      <x:c r="A2" s="2" t="str">
        <x:f>IF(AND(ISNUMBER('Schedule'!I11),'Schedule'!I11&gt;0,'Schedule'!B11&lt;&gt;"",'Schedule'!L11=1,OR('Schedule'!E11&lt;&gt;"sLoanInterest",'Schedule'!I11&lt;=SUM('Schedule'!F11:G11))),"Swizzsoft Main","")</x:f>
      </x:c>
      <x:c r="B2" s="11" t="str">
        <x:f>IF(AND(ISNUMBER('Schedule'!I11),'Schedule'!I11&gt;0,'Schedule'!B11&lt;&gt;"",'Schedule'!L11=1,OR('Schedule'!E11&lt;&gt;"sLoanInterest",'Schedule'!I11&lt;=SUM('Schedule'!F11:G11))),'Schedule'!B11,"")</x:f>
      </x:c>
      <x:c r="C2" s="14" t="str">
        <x:f>IF(AND(ISNUMBER('Schedule'!I11),'Schedule'!I11&gt;0,'Schedule'!B11&lt;&gt;"",'Schedule'!L11=1,OR('Schedule'!E11&lt;&gt;"sLoanInterest",'Schedule'!I11&lt;=SUM('Schedule'!F11:G11))),'Schedule'!I11,"")</x:f>
      </x:c>
      <x:c r="D2" s="14" t="str">
        <x:f>IF(AND(ISNUMBER('Schedule'!I11),'Schedule'!I11&gt;0,'Schedule'!B11&lt;&gt;"",'Schedule'!L11=1,OR('Schedule'!E11&lt;&gt;"sLoanInterest",'Schedule'!I11&lt;=SUM('Schedule'!F11:G11))),SUM('Schedule'!F11:G11),"")</x:f>
      </x:c>
      <x:c r="E2" s="2" t="str">
        <x:f>IF(AND(ISNUMBER('Schedule'!I11),'Schedule'!I11&gt;0,'Schedule'!B11&lt;&gt;"",'Schedule'!L11=1,OR('Schedule'!E11&lt;&gt;"sLoanInterest",'Schedule'!I11&lt;=SUM('Schedule'!F11:G11))),'Schedule'!A11,"")</x:f>
      </x:c>
      <x:c r="F2" s="2" t="str">
        <x:f>IF(AND(ISNUMBER('Schedule'!I11),'Schedule'!I11&gt;0,'Schedule'!B11&lt;&gt;"",'Schedule'!L11=1,OR('Schedule'!E11&lt;&gt;"sLoanInterest",'Schedule'!I11&lt;=SUM('Schedule'!F11:G11))),2,"")</x:f>
      </x:c>
      <x:c r="G2" s="2" t="str">
        <x:f>IF(AND(ISNUMBER('Schedule'!I11),'Schedule'!I11&gt;0,'Schedule'!B11&lt;&gt;"",'Schedule'!L11=1,OR('Schedule'!E11&lt;&gt;"sLoanInterest",'Schedule'!I11&lt;=SUM('Schedule'!F11:G11))),'Schedule'!E11,"")</x:f>
      </x:c>
      <x:c r="H2" s="2" t="str">
        <x:f>IF(AND(ISNUMBER('Schedule'!I11),'Schedule'!I11&gt;0,'Schedule'!B11&lt;&gt;"",'Schedule'!L11=1,OR('Schedule'!E11&lt;&gt;"sLoanInterest",'Schedule'!I11&lt;=SUM('Schedule'!F11:G11))),"DEV-SCHEDULE-20260909","")</x:f>
      </x:c>
    </x:row>
    <x:row r="3" ht="28" customHeight="1">
      <x:c r="A3" s="2" t="str">
        <x:f>IF(AND(ISNUMBER('Schedule'!I12),'Schedule'!I12&gt;0,'Schedule'!B12&lt;&gt;"",'Schedule'!L12=1,OR('Schedule'!E12&lt;&gt;"sLoanInterest",'Schedule'!I12&lt;=SUM('Schedule'!F12:G12))),"Swizzsoft Main","")</x:f>
        <x:v>Swizzsoft Main</x:v>
      </x:c>
      <x:c r="B3" s="11" t="str">
        <x:f>IF(AND(ISNUMBER('Schedule'!I12),'Schedule'!I12&gt;0,'Schedule'!B12&lt;&gt;"",'Schedule'!L12=1,OR('Schedule'!E12&lt;&gt;"sLoanInterest",'Schedule'!I12&lt;=SUM('Schedule'!F12:G12))),'Schedule'!B12,"")</x:f>
        <x:v>0007998</x:v>
      </x:c>
      <x:c r="C3" s="14" t="n">
        <x:f>IF(AND(ISNUMBER('Schedule'!I12),'Schedule'!I12&gt;0,'Schedule'!B12&lt;&gt;"",'Schedule'!L12=1,OR('Schedule'!E12&lt;&gt;"sLoanInterest",'Schedule'!I12&lt;=SUM('Schedule'!F12:G12))),'Schedule'!I12,"")</x:f>
        <x:v>65000</x:v>
      </x:c>
      <x:c r="D3" s="14" t="n">
        <x:f>IF(AND(ISNUMBER('Schedule'!I12),'Schedule'!I12&gt;0,'Schedule'!B12&lt;&gt;"",'Schedule'!L12=1,OR('Schedule'!E12&lt;&gt;"sLoanInterest",'Schedule'!I12&lt;=SUM('Schedule'!F12:G12))),SUM('Schedule'!F12:G12),"")</x:f>
        <x:v>65000</x:v>
      </x:c>
      <x:c r="E3" s="2" t="str">
        <x:f>IF(AND(ISNUMBER('Schedule'!I12),'Schedule'!I12&gt;0,'Schedule'!B12&lt;&gt;"",'Schedule'!L12=1,OR('Schedule'!E12&lt;&gt;"sLoanInterest",'Schedule'!I12&lt;=SUM('Schedule'!F12:G12))),'Schedule'!A12,"")</x:f>
        <x:v>Mr Dorothy Mogoi</x:v>
      </x:c>
      <x:c r="F3" s="2" t="n">
        <x:f>IF(AND(ISNUMBER('Schedule'!I12),'Schedule'!I12&gt;0,'Schedule'!B12&lt;&gt;"",'Schedule'!L12=1,OR('Schedule'!E12&lt;&gt;"sLoanInterest",'Schedule'!I12&lt;=SUM('Schedule'!F12:G12))),1,"")</x:f>
        <x:v>1</x:v>
      </x:c>
      <x:c r="G3" s="2" t="str">
        <x:f>IF(AND(ISNUMBER('Schedule'!I12),'Schedule'!I12&gt;0,'Schedule'!B12&lt;&gt;"",'Schedule'!L12=1,OR('Schedule'!E12&lt;&gt;"sLoanInterest",'Schedule'!I12&lt;=SUM('Schedule'!F12:G12))),'Schedule'!E12,"")</x:f>
        <x:v>sLoanInterest</x:v>
      </x:c>
      <x:c r="H3" s="2" t="str">
        <x:f>IF(AND(ISNUMBER('Schedule'!I12),'Schedule'!I12&gt;0,'Schedule'!B12&lt;&gt;"",'Schedule'!L12=1,OR('Schedule'!E12&lt;&gt;"sLoanInterest",'Schedule'!I12&lt;=SUM('Schedule'!F12:G12))),"DEV-SCHEDULE-20260909","")</x:f>
        <x:v>DEV-SCHEDULE-20260909</x:v>
      </x:c>
    </x:row>
    <x:row r="4" ht="28" customHeight="1">
      <x:c r="A4" s="2" t="str">
        <x:f>IF(AND(ISNUMBER('Schedule'!I13),'Schedule'!I13&gt;0,'Schedule'!B13&lt;&gt;"",'Schedule'!L13=1,OR('Schedule'!E13&lt;&gt;"sLoanInterest",'Schedule'!I13&lt;=SUM('Schedule'!F13:G13))),"Swizzsoft Main","")</x:f>
      </x:c>
      <x:c r="B4" s="11" t="str">
        <x:f>IF(AND(ISNUMBER('Schedule'!I13),'Schedule'!I13&gt;0,'Schedule'!B13&lt;&gt;"",'Schedule'!L13=1,OR('Schedule'!E13&lt;&gt;"sLoanInterest",'Schedule'!I13&lt;=SUM('Schedule'!F13:G13))),'Schedule'!B13,"")</x:f>
      </x:c>
      <x:c r="C4" s="14" t="str">
        <x:f>IF(AND(ISNUMBER('Schedule'!I13),'Schedule'!I13&gt;0,'Schedule'!B13&lt;&gt;"",'Schedule'!L13=1,OR('Schedule'!E13&lt;&gt;"sLoanInterest",'Schedule'!I13&lt;=SUM('Schedule'!F13:G13))),'Schedule'!I13,"")</x:f>
      </x:c>
      <x:c r="D4" s="14" t="str">
        <x:f>IF(AND(ISNUMBER('Schedule'!I13),'Schedule'!I13&gt;0,'Schedule'!B13&lt;&gt;"",'Schedule'!L13=1,OR('Schedule'!E13&lt;&gt;"sLoanInterest",'Schedule'!I13&lt;=SUM('Schedule'!F13:G13))),SUM('Schedule'!F13:G13),"")</x:f>
      </x:c>
      <x:c r="E4" s="2" t="str">
        <x:f>IF(AND(ISNUMBER('Schedule'!I13),'Schedule'!I13&gt;0,'Schedule'!B13&lt;&gt;"",'Schedule'!L13=1,OR('Schedule'!E13&lt;&gt;"sLoanInterest",'Schedule'!I13&lt;=SUM('Schedule'!F13:G13))),'Schedule'!A13,"")</x:f>
      </x:c>
      <x:c r="F4" s="2" t="str">
        <x:f>IF(AND(ISNUMBER('Schedule'!I13),'Schedule'!I13&gt;0,'Schedule'!B13&lt;&gt;"",'Schedule'!L13=1,OR('Schedule'!E13&lt;&gt;"sLoanInterest",'Schedule'!I13&lt;=SUM('Schedule'!F13:G13))),1,"")</x:f>
      </x:c>
      <x:c r="G4" s="2" t="str">
        <x:f>IF(AND(ISNUMBER('Schedule'!I13),'Schedule'!I13&gt;0,'Schedule'!B13&lt;&gt;"",'Schedule'!L13=1,OR('Schedule'!E13&lt;&gt;"sLoanInterest",'Schedule'!I13&lt;=SUM('Schedule'!F13:G13))),'Schedule'!E13,"")</x:f>
      </x:c>
      <x:c r="H4" s="2" t="str">
        <x:f>IF(AND(ISNUMBER('Schedule'!I13),'Schedule'!I13&gt;0,'Schedule'!B13&lt;&gt;"",'Schedule'!L13=1,OR('Schedule'!E13&lt;&gt;"sLoanInterest",'Schedule'!I13&lt;=SUM('Schedule'!F13:G13))),"DEV-SCHEDULE-20260909","")</x:f>
      </x:c>
    </x:row>
    <x:row r="5" ht="28" customHeight="1">
      <x:c r="A5" s="2" t="str">
        <x:f>IF(AND(ISNUMBER('Schedule'!I14),'Schedule'!I14&gt;0,'Schedule'!B14&lt;&gt;"",'Schedule'!L14=1,OR('Schedule'!E14&lt;&gt;"sLoanInterest",'Schedule'!I14&lt;=SUM('Schedule'!F14:G14))),"Swizzsoft Main","")</x:f>
        <x:v>Swizzsoft Main</x:v>
      </x:c>
      <x:c r="B5" s="11" t="str">
        <x:f>IF(AND(ISNUMBER('Schedule'!I14),'Schedule'!I14&gt;0,'Schedule'!B14&lt;&gt;"",'Schedule'!L14=1,OR('Schedule'!E14&lt;&gt;"sLoanInterest",'Schedule'!I14&lt;=SUM('Schedule'!F14:G14))),'Schedule'!B14,"")</x:f>
        <x:v>UIC002</x:v>
      </x:c>
      <x:c r="C5" s="14" t="n">
        <x:f>IF(AND(ISNUMBER('Schedule'!I14),'Schedule'!I14&gt;0,'Schedule'!B14&lt;&gt;"",'Schedule'!L14=1,OR('Schedule'!E14&lt;&gt;"sLoanInterest",'Schedule'!I14&lt;=SUM('Schedule'!F14:G14))),'Schedule'!I14,"")</x:f>
        <x:v>7466.66</x:v>
      </x:c>
      <x:c r="D5" s="14" t="n">
        <x:f>IF(AND(ISNUMBER('Schedule'!I14),'Schedule'!I14&gt;0,'Schedule'!B14&lt;&gt;"",'Schedule'!L14=1,OR('Schedule'!E14&lt;&gt;"sLoanInterest",'Schedule'!I14&lt;=SUM('Schedule'!F14:G14))),SUM('Schedule'!F14:G14),"")</x:f>
        <x:v>80000</x:v>
      </x:c>
      <x:c r="E5" s="2" t="str">
        <x:f>IF(AND(ISNUMBER('Schedule'!I14),'Schedule'!I14&gt;0,'Schedule'!B14&lt;&gt;"",'Schedule'!L14=1,OR('Schedule'!E14&lt;&gt;"sLoanInterest",'Schedule'!I14&lt;=SUM('Schedule'!F14:G14))),'Schedule'!A14,"")</x:f>
        <x:v>Mr NAFTALI ODALO</x:v>
      </x:c>
      <x:c r="F5" s="2" t="n">
        <x:f>IF(AND(ISNUMBER('Schedule'!I14),'Schedule'!I14&gt;0,'Schedule'!B14&lt;&gt;"",'Schedule'!L14=1,OR('Schedule'!E14&lt;&gt;"sLoanInterest",'Schedule'!I14&lt;=SUM('Schedule'!F14:G14))),3,"")</x:f>
        <x:v>3</x:v>
      </x:c>
      <x:c r="G5" s="2" t="str">
        <x:f>IF(AND(ISNUMBER('Schedule'!I14),'Schedule'!I14&gt;0,'Schedule'!B14&lt;&gt;"",'Schedule'!L14=1,OR('Schedule'!E14&lt;&gt;"sLoanInterest",'Schedule'!I14&lt;=SUM('Schedule'!F14:G14))),'Schedule'!E14,"")</x:f>
        <x:v>sLoanInterest</x:v>
      </x:c>
      <x:c r="H5" s="2" t="str">
        <x:f>IF(AND(ISNUMBER('Schedule'!I14),'Schedule'!I14&gt;0,'Schedule'!B14&lt;&gt;"",'Schedule'!L14=1,OR('Schedule'!E14&lt;&gt;"sLoanInterest",'Schedule'!I14&lt;=SUM('Schedule'!F14:G14))),"DEV-SCHEDULE-20260909","")</x:f>
        <x:v>DEV-SCHEDULE-20260909</x:v>
      </x:c>
    </x:row>
    <x:row r="6" ht="28" customHeight="1">
      <x:c r="A6" s="2" t="str">
        <x:f>IF(AND(ISNUMBER('Schedule'!I15),'Schedule'!I15&gt;0,'Schedule'!B15&lt;&gt;"",'Schedule'!L15=1,OR('Schedule'!E15&lt;&gt;"sLoanInterest",'Schedule'!I15&lt;=SUM('Schedule'!F15:G15))),"Swizzsoft Main","")</x:f>
        <x:v>Swizzsoft Main</x:v>
      </x:c>
      <x:c r="B6" s="11" t="str">
        <x:f>IF(AND(ISNUMBER('Schedule'!I15),'Schedule'!I15&gt;0,'Schedule'!B15&lt;&gt;"",'Schedule'!L15=1,OR('Schedule'!E15&lt;&gt;"sLoanInterest",'Schedule'!I15&lt;=SUM('Schedule'!F15:G15))),'Schedule'!B15,"")</x:f>
        <x:v>333222133</x:v>
      </x:c>
      <x:c r="C6" s="14" t="n">
        <x:f>IF(AND(ISNUMBER('Schedule'!I15),'Schedule'!I15&gt;0,'Schedule'!B15&lt;&gt;"",'Schedule'!L15=1,OR('Schedule'!E15&lt;&gt;"sLoanInterest",'Schedule'!I15&lt;=SUM('Schedule'!F15:G15))),'Schedule'!I15,"")</x:f>
        <x:v>23391.66</x:v>
      </x:c>
      <x:c r="D6" s="14" t="n">
        <x:f>IF(AND(ISNUMBER('Schedule'!I15),'Schedule'!I15&gt;0,'Schedule'!B15&lt;&gt;"",'Schedule'!L15=1,OR('Schedule'!E15&lt;&gt;"sLoanInterest",'Schedule'!I15&lt;=SUM('Schedule'!F15:G15))),SUM('Schedule'!F15:G15),"")</x:f>
        <x:v>70000</x:v>
      </x:c>
      <x:c r="E6" s="2" t="str">
        <x:f>IF(AND(ISNUMBER('Schedule'!I15),'Schedule'!I15&gt;0,'Schedule'!B15&lt;&gt;"",'Schedule'!L15=1,OR('Schedule'!E15&lt;&gt;"sLoanInterest",'Schedule'!I15&lt;=SUM('Schedule'!F15:G15))),'Schedule'!A15,"")</x:f>
        <x:v>Mr Seline Kimeli</x:v>
      </x:c>
      <x:c r="F6" s="2" t="n">
        <x:f>IF(AND(ISNUMBER('Schedule'!I15),'Schedule'!I15&gt;0,'Schedule'!B15&lt;&gt;"",'Schedule'!L15=1,OR('Schedule'!E15&lt;&gt;"sLoanInterest",'Schedule'!I15&lt;=SUM('Schedule'!F15:G15))),2,"")</x:f>
        <x:v>2</x:v>
      </x:c>
      <x:c r="G6" s="2" t="str">
        <x:f>IF(AND(ISNUMBER('Schedule'!I15),'Schedule'!I15&gt;0,'Schedule'!B15&lt;&gt;"",'Schedule'!L15=1,OR('Schedule'!E15&lt;&gt;"sLoanInterest",'Schedule'!I15&lt;=SUM('Schedule'!F15:G15))),'Schedule'!E15,"")</x:f>
        <x:v>sLoanInterest</x:v>
      </x:c>
      <x:c r="H6" s="2" t="str">
        <x:f>IF(AND(ISNUMBER('Schedule'!I15),'Schedule'!I15&gt;0,'Schedule'!B15&lt;&gt;"",'Schedule'!L15=1,OR('Schedule'!E15&lt;&gt;"sLoanInterest",'Schedule'!I15&lt;=SUM('Schedule'!F15:G15))),"DEV-SCHEDULE-20260909","")</x:f>
        <x:v>DEV-SCHEDULE-20260909</x:v>
      </x:c>
    </x:row>
    <x:row r="7" ht="28" customHeight="1">
      <x:c r="A7" s="2" t="str">
        <x:f>IF(AND(ISNUMBER('Schedule'!I16),'Schedule'!I16&gt;0,'Schedule'!B16&lt;&gt;"",'Schedule'!L16=1,OR('Schedule'!E16&lt;&gt;"sLoanInterest",'Schedule'!I16&lt;=SUM('Schedule'!F16:G16))),"Swizzsoft Main","")</x:f>
      </x:c>
      <x:c r="B7" s="11" t="str">
        <x:f>IF(AND(ISNUMBER('Schedule'!I16),'Schedule'!I16&gt;0,'Schedule'!B16&lt;&gt;"",'Schedule'!L16=1,OR('Schedule'!E16&lt;&gt;"sLoanInterest",'Schedule'!I16&lt;=SUM('Schedule'!F16:G16))),'Schedule'!B16,"")</x:f>
      </x:c>
      <x:c r="C7" s="14" t="str">
        <x:f>IF(AND(ISNUMBER('Schedule'!I16),'Schedule'!I16&gt;0,'Schedule'!B16&lt;&gt;"",'Schedule'!L16=1,OR('Schedule'!E16&lt;&gt;"sLoanInterest",'Schedule'!I16&lt;=SUM('Schedule'!F16:G16))),'Schedule'!I16,"")</x:f>
      </x:c>
      <x:c r="D7" s="14" t="str">
        <x:f>IF(AND(ISNUMBER('Schedule'!I16),'Schedule'!I16&gt;0,'Schedule'!B16&lt;&gt;"",'Schedule'!L16=1,OR('Schedule'!E16&lt;&gt;"sLoanInterest",'Schedule'!I16&lt;=SUM('Schedule'!F16:G16))),SUM('Schedule'!F16:G16),"")</x:f>
      </x:c>
      <x:c r="E7" s="2" t="str">
        <x:f>IF(AND(ISNUMBER('Schedule'!I16),'Schedule'!I16&gt;0,'Schedule'!B16&lt;&gt;"",'Schedule'!L16=1,OR('Schedule'!E16&lt;&gt;"sLoanInterest",'Schedule'!I16&lt;=SUM('Schedule'!F16:G16))),'Schedule'!A16,"")</x:f>
      </x:c>
      <x:c r="F7" s="2" t="str">
        <x:f>IF(AND(ISNUMBER('Schedule'!I16),'Schedule'!I16&gt;0,'Schedule'!B16&lt;&gt;"",'Schedule'!L16=1,OR('Schedule'!E16&lt;&gt;"sLoanInterest",'Schedule'!I16&lt;=SUM('Schedule'!F16:G16))),1,"")</x:f>
      </x:c>
      <x:c r="G7" s="2" t="str">
        <x:f>IF(AND(ISNUMBER('Schedule'!I16),'Schedule'!I16&gt;0,'Schedule'!B16&lt;&gt;"",'Schedule'!L16=1,OR('Schedule'!E16&lt;&gt;"sLoanInterest",'Schedule'!I16&lt;=SUM('Schedule'!F16:G16))),'Schedule'!E16,"")</x:f>
      </x:c>
      <x:c r="H7" s="2" t="str">
        <x:f>IF(AND(ISNUMBER('Schedule'!I16),'Schedule'!I16&gt;0,'Schedule'!B16&lt;&gt;"",'Schedule'!L16=1,OR('Schedule'!E16&lt;&gt;"sLoanInterest",'Schedule'!I16&lt;=SUM('Schedule'!F16:G16))),"DEV-SCHEDULE-20260909","")</x:f>
      </x:c>
    </x:row>
    <x:row r="8" ht="28" customHeight="1">
      <x:c r="A8" s="2" t="str">
        <x:f>IF(AND(ISNUMBER('Schedule'!I17),'Schedule'!I17&gt;0,'Schedule'!B17&lt;&gt;"",'Schedule'!L17=1,OR('Schedule'!E17&lt;&gt;"sLoanInterest",'Schedule'!I17&lt;=SUM('Schedule'!F17:G17))),"Swizzsoft Main","")</x:f>
      </x:c>
      <x:c r="B8" s="11" t="str">
        <x:f>IF(AND(ISNUMBER('Schedule'!I17),'Schedule'!I17&gt;0,'Schedule'!B17&lt;&gt;"",'Schedule'!L17=1,OR('Schedule'!E17&lt;&gt;"sLoanInterest",'Schedule'!I17&lt;=SUM('Schedule'!F17:G17))),'Schedule'!B17,"")</x:f>
      </x:c>
      <x:c r="C8" s="14" t="str">
        <x:f>IF(AND(ISNUMBER('Schedule'!I17),'Schedule'!I17&gt;0,'Schedule'!B17&lt;&gt;"",'Schedule'!L17=1,OR('Schedule'!E17&lt;&gt;"sLoanInterest",'Schedule'!I17&lt;=SUM('Schedule'!F17:G17))),'Schedule'!I17,"")</x:f>
      </x:c>
      <x:c r="D8" s="14" t="str">
        <x:f>IF(AND(ISNUMBER('Schedule'!I17),'Schedule'!I17&gt;0,'Schedule'!B17&lt;&gt;"",'Schedule'!L17=1,OR('Schedule'!E17&lt;&gt;"sLoanInterest",'Schedule'!I17&lt;=SUM('Schedule'!F17:G17))),SUM('Schedule'!F17:G17),"")</x:f>
      </x:c>
      <x:c r="E8" s="2" t="str">
        <x:f>IF(AND(ISNUMBER('Schedule'!I17),'Schedule'!I17&gt;0,'Schedule'!B17&lt;&gt;"",'Schedule'!L17=1,OR('Schedule'!E17&lt;&gt;"sLoanInterest",'Schedule'!I17&lt;=SUM('Schedule'!F17:G17))),'Schedule'!A17,"")</x:f>
      </x:c>
      <x:c r="F8" s="2" t="str">
        <x:f>IF(AND(ISNUMBER('Schedule'!I17),'Schedule'!I17&gt;0,'Schedule'!B17&lt;&gt;"",'Schedule'!L17=1,OR('Schedule'!E17&lt;&gt;"sLoanInterest",'Schedule'!I17&lt;=SUM('Schedule'!F17:G17))),2,"")</x:f>
      </x:c>
      <x:c r="G8" s="2" t="str">
        <x:f>IF(AND(ISNUMBER('Schedule'!I17),'Schedule'!I17&gt;0,'Schedule'!B17&lt;&gt;"",'Schedule'!L17=1,OR('Schedule'!E17&lt;&gt;"sLoanInterest",'Schedule'!I17&lt;=SUM('Schedule'!F17:G17))),'Schedule'!E17,"")</x:f>
      </x:c>
      <x:c r="H8" s="2" t="str">
        <x:f>IF(AND(ISNUMBER('Schedule'!I17),'Schedule'!I17&gt;0,'Schedule'!B17&lt;&gt;"",'Schedule'!L17=1,OR('Schedule'!E17&lt;&gt;"sLoanInterest",'Schedule'!I17&lt;=SUM('Schedule'!F17:G17))),"DEV-SCHEDULE-20260909","")</x:f>
      </x:c>
    </x:row>
    <x:row r="9" ht="28" customHeight="1">
      <x:c r="A9" s="2" t="str">
        <x:f>IF(AND(ISNUMBER('Schedule'!I18),'Schedule'!I18&gt;0,'Schedule'!B18&lt;&gt;"",'Schedule'!L18=1,OR('Schedule'!E18&lt;&gt;"sLoanInterest",'Schedule'!I18&lt;=SUM('Schedule'!F18:G18))),"Swizzsoft Main","")</x:f>
      </x:c>
      <x:c r="B9" s="11" t="str">
        <x:f>IF(AND(ISNUMBER('Schedule'!I18),'Schedule'!I18&gt;0,'Schedule'!B18&lt;&gt;"",'Schedule'!L18=1,OR('Schedule'!E18&lt;&gt;"sLoanInterest",'Schedule'!I18&lt;=SUM('Schedule'!F18:G18))),'Schedule'!B18,"")</x:f>
      </x:c>
      <x:c r="C9" s="14" t="str">
        <x:f>IF(AND(ISNUMBER('Schedule'!I18),'Schedule'!I18&gt;0,'Schedule'!B18&lt;&gt;"",'Schedule'!L18=1,OR('Schedule'!E18&lt;&gt;"sLoanInterest",'Schedule'!I18&lt;=SUM('Schedule'!F18:G18))),'Schedule'!I18,"")</x:f>
      </x:c>
      <x:c r="D9" s="14" t="str">
        <x:f>IF(AND(ISNUMBER('Schedule'!I18),'Schedule'!I18&gt;0,'Schedule'!B18&lt;&gt;"",'Schedule'!L18=1,OR('Schedule'!E18&lt;&gt;"sLoanInterest",'Schedule'!I18&lt;=SUM('Schedule'!F18:G18))),SUM('Schedule'!F18:G18),"")</x:f>
      </x:c>
      <x:c r="E9" s="2" t="str">
        <x:f>IF(AND(ISNUMBER('Schedule'!I18),'Schedule'!I18&gt;0,'Schedule'!B18&lt;&gt;"",'Schedule'!L18=1,OR('Schedule'!E18&lt;&gt;"sLoanInterest",'Schedule'!I18&lt;=SUM('Schedule'!F18:G18))),'Schedule'!A18,"")</x:f>
      </x:c>
      <x:c r="F9" s="2" t="str">
        <x:f>IF(AND(ISNUMBER('Schedule'!I18),'Schedule'!I18&gt;0,'Schedule'!B18&lt;&gt;"",'Schedule'!L18=1,OR('Schedule'!E18&lt;&gt;"sLoanInterest",'Schedule'!I18&lt;=SUM('Schedule'!F18:G18))),1,"")</x:f>
      </x:c>
      <x:c r="G9" s="2" t="str">
        <x:f>IF(AND(ISNUMBER('Schedule'!I18),'Schedule'!I18&gt;0,'Schedule'!B18&lt;&gt;"",'Schedule'!L18=1,OR('Schedule'!E18&lt;&gt;"sLoanInterest",'Schedule'!I18&lt;=SUM('Schedule'!F18:G18))),'Schedule'!E18,"")</x:f>
      </x:c>
      <x:c r="H9" s="2" t="str">
        <x:f>IF(AND(ISNUMBER('Schedule'!I18),'Schedule'!I18&gt;0,'Schedule'!B18&lt;&gt;"",'Schedule'!L18=1,OR('Schedule'!E18&lt;&gt;"sLoanInterest",'Schedule'!I18&lt;=SUM('Schedule'!F18:G18))),"DEV-SCHEDULE-20260909","")</x:f>
      </x:c>
    </x:row>
    <x:row r="10" ht="28" customHeight="1">
      <x:c r="A10" s="2" t="str">
        <x:f>IF(AND(ISNUMBER('Schedule'!I19),'Schedule'!I19&gt;0,'Schedule'!B19&lt;&gt;"",'Schedule'!L19=1,OR('Schedule'!E19&lt;&gt;"sLoanInterest",'Schedule'!I19&lt;=SUM('Schedule'!F19:G19))),"Swizzsoft Main","")</x:f>
      </x:c>
      <x:c r="B10" s="11" t="str">
        <x:f>IF(AND(ISNUMBER('Schedule'!I19),'Schedule'!I19&gt;0,'Schedule'!B19&lt;&gt;"",'Schedule'!L19=1,OR('Schedule'!E19&lt;&gt;"sLoanInterest",'Schedule'!I19&lt;=SUM('Schedule'!F19:G19))),'Schedule'!B19,"")</x:f>
      </x:c>
      <x:c r="C10" s="14" t="str">
        <x:f>IF(AND(ISNUMBER('Schedule'!I19),'Schedule'!I19&gt;0,'Schedule'!B19&lt;&gt;"",'Schedule'!L19=1,OR('Schedule'!E19&lt;&gt;"sLoanInterest",'Schedule'!I19&lt;=SUM('Schedule'!F19:G19))),'Schedule'!I19,"")</x:f>
      </x:c>
      <x:c r="D10" s="14" t="str">
        <x:f>IF(AND(ISNUMBER('Schedule'!I19),'Schedule'!I19&gt;0,'Schedule'!B19&lt;&gt;"",'Schedule'!L19=1,OR('Schedule'!E19&lt;&gt;"sLoanInterest",'Schedule'!I19&lt;=SUM('Schedule'!F19:G19))),SUM('Schedule'!F19:G19),"")</x:f>
      </x:c>
      <x:c r="E10" s="2" t="str">
        <x:f>IF(AND(ISNUMBER('Schedule'!I19),'Schedule'!I19&gt;0,'Schedule'!B19&lt;&gt;"",'Schedule'!L19=1,OR('Schedule'!E19&lt;&gt;"sLoanInterest",'Schedule'!I19&lt;=SUM('Schedule'!F19:G19))),'Schedule'!A19,"")</x:f>
      </x:c>
      <x:c r="F10" s="2" t="str">
        <x:f>IF(AND(ISNUMBER('Schedule'!I19),'Schedule'!I19&gt;0,'Schedule'!B19&lt;&gt;"",'Schedule'!L19=1,OR('Schedule'!E19&lt;&gt;"sLoanInterest",'Schedule'!I19&lt;=SUM('Schedule'!F19:G19))),2,"")</x:f>
      </x:c>
      <x:c r="G10" s="2" t="str">
        <x:f>IF(AND(ISNUMBER('Schedule'!I19),'Schedule'!I19&gt;0,'Schedule'!B19&lt;&gt;"",'Schedule'!L19=1,OR('Schedule'!E19&lt;&gt;"sLoanInterest",'Schedule'!I19&lt;=SUM('Schedule'!F19:G19))),'Schedule'!E19,"")</x:f>
      </x:c>
      <x:c r="H10" s="2" t="str">
        <x:f>IF(AND(ISNUMBER('Schedule'!I19),'Schedule'!I19&gt;0,'Schedule'!B19&lt;&gt;"",'Schedule'!L19=1,OR('Schedule'!E19&lt;&gt;"sLoanInterest",'Schedule'!I19&lt;=SUM('Schedule'!F19:G19))),"DEV-SCHEDULE-20260909","")</x:f>
      </x:c>
    </x:row>
    <x:row r="11" ht="28" customHeight="1">
      <x:c r="A11" s="2" t="str">
        <x:f>IF(AND(ISNUMBER('Schedule'!I20),'Schedule'!I20&gt;0,'Schedule'!B20&lt;&gt;"",'Schedule'!L20=1,OR('Schedule'!E20&lt;&gt;"sLoanInterest",'Schedule'!I20&lt;=SUM('Schedule'!F20:G20))),"Swizzsoft Main","")</x:f>
      </x:c>
      <x:c r="B11" s="11" t="str">
        <x:f>IF(AND(ISNUMBER('Schedule'!I20),'Schedule'!I20&gt;0,'Schedule'!B20&lt;&gt;"",'Schedule'!L20=1,OR('Schedule'!E20&lt;&gt;"sLoanInterest",'Schedule'!I20&lt;=SUM('Schedule'!F20:G20))),'Schedule'!B20,"")</x:f>
      </x:c>
      <x:c r="C11" s="14" t="str">
        <x:f>IF(AND(ISNUMBER('Schedule'!I20),'Schedule'!I20&gt;0,'Schedule'!B20&lt;&gt;"",'Schedule'!L20=1,OR('Schedule'!E20&lt;&gt;"sLoanInterest",'Schedule'!I20&lt;=SUM('Schedule'!F20:G20))),'Schedule'!I20,"")</x:f>
      </x:c>
      <x:c r="D11" s="14" t="str">
        <x:f>IF(AND(ISNUMBER('Schedule'!I20),'Schedule'!I20&gt;0,'Schedule'!B20&lt;&gt;"",'Schedule'!L20=1,OR('Schedule'!E20&lt;&gt;"sLoanInterest",'Schedule'!I20&lt;=SUM('Schedule'!F20:G20))),SUM('Schedule'!F20:G20),"")</x:f>
      </x:c>
      <x:c r="E11" s="2" t="str">
        <x:f>IF(AND(ISNUMBER('Schedule'!I20),'Schedule'!I20&gt;0,'Schedule'!B20&lt;&gt;"",'Schedule'!L20=1,OR('Schedule'!E20&lt;&gt;"sLoanInterest",'Schedule'!I20&lt;=SUM('Schedule'!F20:G20))),'Schedule'!A20,"")</x:f>
      </x:c>
      <x:c r="F11" s="2" t="str">
        <x:f>IF(AND(ISNUMBER('Schedule'!I20),'Schedule'!I20&gt;0,'Schedule'!B20&lt;&gt;"",'Schedule'!L20=1,OR('Schedule'!E20&lt;&gt;"sLoanInterest",'Schedule'!I20&lt;=SUM('Schedule'!F20:G20))),1,"")</x:f>
      </x:c>
      <x:c r="G11" s="2" t="str">
        <x:f>IF(AND(ISNUMBER('Schedule'!I20),'Schedule'!I20&gt;0,'Schedule'!B20&lt;&gt;"",'Schedule'!L20=1,OR('Schedule'!E20&lt;&gt;"sLoanInterest",'Schedule'!I20&lt;=SUM('Schedule'!F20:G20))),'Schedule'!E20,"")</x:f>
      </x:c>
      <x:c r="H11" s="2" t="str">
        <x:f>IF(AND(ISNUMBER('Schedule'!I20),'Schedule'!I20&gt;0,'Schedule'!B20&lt;&gt;"",'Schedule'!L20=1,OR('Schedule'!E20&lt;&gt;"sLoanInterest",'Schedule'!I20&lt;=SUM('Schedule'!F20:G20))),"DEV-SCHEDULE-20260909","")</x:f>
      </x:c>
    </x:row>
    <x:row r="12" ht="28" customHeight="1">
      <x:c r="A12" s="2" t="str">
        <x:f>IF(AND(ISNUMBER('Schedule'!I21),'Schedule'!I21&gt;0,'Schedule'!B21&lt;&gt;"",'Schedule'!L21=1,OR('Schedule'!E21&lt;&gt;"sLoanInterest",'Schedule'!I21&lt;=SUM('Schedule'!F21:G21))),"Swizzsoft Main","")</x:f>
      </x:c>
      <x:c r="B12" s="11" t="str">
        <x:f>IF(AND(ISNUMBER('Schedule'!I21),'Schedule'!I21&gt;0,'Schedule'!B21&lt;&gt;"",'Schedule'!L21=1,OR('Schedule'!E21&lt;&gt;"sLoanInterest",'Schedule'!I21&lt;=SUM('Schedule'!F21:G21))),'Schedule'!B21,"")</x:f>
      </x:c>
      <x:c r="C12" s="14" t="str">
        <x:f>IF(AND(ISNUMBER('Schedule'!I21),'Schedule'!I21&gt;0,'Schedule'!B21&lt;&gt;"",'Schedule'!L21=1,OR('Schedule'!E21&lt;&gt;"sLoanInterest",'Schedule'!I21&lt;=SUM('Schedule'!F21:G21))),'Schedule'!I21,"")</x:f>
      </x:c>
      <x:c r="D12" s="14" t="str">
        <x:f>IF(AND(ISNUMBER('Schedule'!I21),'Schedule'!I21&gt;0,'Schedule'!B21&lt;&gt;"",'Schedule'!L21=1,OR('Schedule'!E21&lt;&gt;"sLoanInterest",'Schedule'!I21&lt;=SUM('Schedule'!F21:G21))),SUM('Schedule'!F21:G21),"")</x:f>
      </x:c>
      <x:c r="E12" s="2" t="str">
        <x:f>IF(AND(ISNUMBER('Schedule'!I21),'Schedule'!I21&gt;0,'Schedule'!B21&lt;&gt;"",'Schedule'!L21=1,OR('Schedule'!E21&lt;&gt;"sLoanInterest",'Schedule'!I21&lt;=SUM('Schedule'!F21:G21))),'Schedule'!A21,"")</x:f>
      </x:c>
      <x:c r="F12" s="2" t="str">
        <x:f>IF(AND(ISNUMBER('Schedule'!I21),'Schedule'!I21&gt;0,'Schedule'!B21&lt;&gt;"",'Schedule'!L21=1,OR('Schedule'!E21&lt;&gt;"sLoanInterest",'Schedule'!I21&lt;=SUM('Schedule'!F21:G21))),2,"")</x:f>
      </x:c>
      <x:c r="G12" s="2" t="str">
        <x:f>IF(AND(ISNUMBER('Schedule'!I21),'Schedule'!I21&gt;0,'Schedule'!B21&lt;&gt;"",'Schedule'!L21=1,OR('Schedule'!E21&lt;&gt;"sLoanInterest",'Schedule'!I21&lt;=SUM('Schedule'!F21:G21))),'Schedule'!E21,"")</x:f>
      </x:c>
      <x:c r="H12" s="2" t="str">
        <x:f>IF(AND(ISNUMBER('Schedule'!I21),'Schedule'!I21&gt;0,'Schedule'!B21&lt;&gt;"",'Schedule'!L21=1,OR('Schedule'!E21&lt;&gt;"sLoanInterest",'Schedule'!I21&lt;=SUM('Schedule'!F21:G21))),"DEV-SCHEDULE-20260909","")</x:f>
      </x:c>
    </x:row>
    <x:row r="13" ht="28" customHeight="1">
      <x:c r="A13" s="2" t="str">
        <x:f>IF(AND(ISNUMBER('Schedule'!I22),'Schedule'!I22&gt;0,'Schedule'!B22&lt;&gt;"",'Schedule'!L22=1,OR('Schedule'!E22&lt;&gt;"sLoanInterest",'Schedule'!I22&lt;=SUM('Schedule'!F22:G22))),"Swizzsoft Main","")</x:f>
      </x:c>
      <x:c r="B13" s="11" t="str">
        <x:f>IF(AND(ISNUMBER('Schedule'!I22),'Schedule'!I22&gt;0,'Schedule'!B22&lt;&gt;"",'Schedule'!L22=1,OR('Schedule'!E22&lt;&gt;"sLoanInterest",'Schedule'!I22&lt;=SUM('Schedule'!F22:G22))),'Schedule'!B22,"")</x:f>
      </x:c>
      <x:c r="C13" s="14" t="str">
        <x:f>IF(AND(ISNUMBER('Schedule'!I22),'Schedule'!I22&gt;0,'Schedule'!B22&lt;&gt;"",'Schedule'!L22=1,OR('Schedule'!E22&lt;&gt;"sLoanInterest",'Schedule'!I22&lt;=SUM('Schedule'!F22:G22))),'Schedule'!I22,"")</x:f>
      </x:c>
      <x:c r="D13" s="14" t="str">
        <x:f>IF(AND(ISNUMBER('Schedule'!I22),'Schedule'!I22&gt;0,'Schedule'!B22&lt;&gt;"",'Schedule'!L22=1,OR('Schedule'!E22&lt;&gt;"sLoanInterest",'Schedule'!I22&lt;=SUM('Schedule'!F22:G22))),SUM('Schedule'!F22:G22),"")</x:f>
      </x:c>
      <x:c r="E13" s="2" t="str">
        <x:f>IF(AND(ISNUMBER('Schedule'!I22),'Schedule'!I22&gt;0,'Schedule'!B22&lt;&gt;"",'Schedule'!L22=1,OR('Schedule'!E22&lt;&gt;"sLoanInterest",'Schedule'!I22&lt;=SUM('Schedule'!F22:G22))),'Schedule'!A22,"")</x:f>
      </x:c>
      <x:c r="F13" s="2" t="str">
        <x:f>IF(AND(ISNUMBER('Schedule'!I22),'Schedule'!I22&gt;0,'Schedule'!B22&lt;&gt;"",'Schedule'!L22=1,OR('Schedule'!E22&lt;&gt;"sLoanInterest",'Schedule'!I22&lt;=SUM('Schedule'!F22:G22))),1,"")</x:f>
      </x:c>
      <x:c r="G13" s="2" t="str">
        <x:f>IF(AND(ISNUMBER('Schedule'!I22),'Schedule'!I22&gt;0,'Schedule'!B22&lt;&gt;"",'Schedule'!L22=1,OR('Schedule'!E22&lt;&gt;"sLoanInterest",'Schedule'!I22&lt;=SUM('Schedule'!F22:G22))),'Schedule'!E22,"")</x:f>
      </x:c>
      <x:c r="H13" s="2" t="str">
        <x:f>IF(AND(ISNUMBER('Schedule'!I22),'Schedule'!I22&gt;0,'Schedule'!B22&lt;&gt;"",'Schedule'!L22=1,OR('Schedule'!E22&lt;&gt;"sLoanInterest",'Schedule'!I22&lt;=SUM('Schedule'!F22:G22))),"DEV-SCHEDULE-20260909","")</x:f>
      </x:c>
    </x:row>
    <x:row r="14" ht="28" customHeight="1">
      <x:c r="A14" s="2" t="str">
        <x:f>IF(AND(ISNUMBER('Schedule'!I23),'Schedule'!I23&gt;0,'Schedule'!B23&lt;&gt;"",'Schedule'!L23=1,OR('Schedule'!E23&lt;&gt;"sLoanInterest",'Schedule'!I23&lt;=SUM('Schedule'!F23:G23))),"Swizzsoft Main","")</x:f>
      </x:c>
      <x:c r="B14" s="11" t="str">
        <x:f>IF(AND(ISNUMBER('Schedule'!I23),'Schedule'!I23&gt;0,'Schedule'!B23&lt;&gt;"",'Schedule'!L23=1,OR('Schedule'!E23&lt;&gt;"sLoanInterest",'Schedule'!I23&lt;=SUM('Schedule'!F23:G23))),'Schedule'!B23,"")</x:f>
      </x:c>
      <x:c r="C14" s="14" t="str">
        <x:f>IF(AND(ISNUMBER('Schedule'!I23),'Schedule'!I23&gt;0,'Schedule'!B23&lt;&gt;"",'Schedule'!L23=1,OR('Schedule'!E23&lt;&gt;"sLoanInterest",'Schedule'!I23&lt;=SUM('Schedule'!F23:G23))),'Schedule'!I23,"")</x:f>
      </x:c>
      <x:c r="D14" s="14" t="str">
        <x:f>IF(AND(ISNUMBER('Schedule'!I23),'Schedule'!I23&gt;0,'Schedule'!B23&lt;&gt;"",'Schedule'!L23=1,OR('Schedule'!E23&lt;&gt;"sLoanInterest",'Schedule'!I23&lt;=SUM('Schedule'!F23:G23))),SUM('Schedule'!F23:G23),"")</x:f>
      </x:c>
      <x:c r="E14" s="2" t="str">
        <x:f>IF(AND(ISNUMBER('Schedule'!I23),'Schedule'!I23&gt;0,'Schedule'!B23&lt;&gt;"",'Schedule'!L23=1,OR('Schedule'!E23&lt;&gt;"sLoanInterest",'Schedule'!I23&lt;=SUM('Schedule'!F23:G23))),'Schedule'!A23,"")</x:f>
      </x:c>
      <x:c r="F14" s="2" t="str">
        <x:f>IF(AND(ISNUMBER('Schedule'!I23),'Schedule'!I23&gt;0,'Schedule'!B23&lt;&gt;"",'Schedule'!L23=1,OR('Schedule'!E23&lt;&gt;"sLoanInterest",'Schedule'!I23&lt;=SUM('Schedule'!F23:G23))),1,"")</x:f>
      </x:c>
      <x:c r="G14" s="2" t="str">
        <x:f>IF(AND(ISNUMBER('Schedule'!I23),'Schedule'!I23&gt;0,'Schedule'!B23&lt;&gt;"",'Schedule'!L23=1,OR('Schedule'!E23&lt;&gt;"sLoanInterest",'Schedule'!I23&lt;=SUM('Schedule'!F23:G23))),'Schedule'!E23,"")</x:f>
      </x:c>
      <x:c r="H14" s="2" t="str">
        <x:f>IF(AND(ISNUMBER('Schedule'!I23),'Schedule'!I23&gt;0,'Schedule'!B23&lt;&gt;"",'Schedule'!L23=1,OR('Schedule'!E23&lt;&gt;"sLoanInterest",'Schedule'!I23&lt;=SUM('Schedule'!F23:G23))),"DEV-SCHEDULE-20260909","")</x:f>
      </x:c>
    </x:row>
    <x:row r="15" ht="28" customHeight="1">
      <x:c r="A15" s="2" t="str">
        <x:f>IF(AND(ISNUMBER('Schedule'!I24),'Schedule'!I24&gt;0,'Schedule'!B24&lt;&gt;"",'Schedule'!L24=1,OR('Schedule'!E24&lt;&gt;"sLoanInterest",'Schedule'!I24&lt;=SUM('Schedule'!F24:G24))),"Swizzsoft Main","")</x:f>
      </x:c>
      <x:c r="B15" s="11" t="str">
        <x:f>IF(AND(ISNUMBER('Schedule'!I24),'Schedule'!I24&gt;0,'Schedule'!B24&lt;&gt;"",'Schedule'!L24=1,OR('Schedule'!E24&lt;&gt;"sLoanInterest",'Schedule'!I24&lt;=SUM('Schedule'!F24:G24))),'Schedule'!B24,"")</x:f>
      </x:c>
      <x:c r="C15" s="14" t="str">
        <x:f>IF(AND(ISNUMBER('Schedule'!I24),'Schedule'!I24&gt;0,'Schedule'!B24&lt;&gt;"",'Schedule'!L24=1,OR('Schedule'!E24&lt;&gt;"sLoanInterest",'Schedule'!I24&lt;=SUM('Schedule'!F24:G24))),'Schedule'!I24,"")</x:f>
      </x:c>
      <x:c r="D15" s="14" t="str">
        <x:f>IF(AND(ISNUMBER('Schedule'!I24),'Schedule'!I24&gt;0,'Schedule'!B24&lt;&gt;"",'Schedule'!L24=1,OR('Schedule'!E24&lt;&gt;"sLoanInterest",'Schedule'!I24&lt;=SUM('Schedule'!F24:G24))),SUM('Schedule'!F24:G24),"")</x:f>
      </x:c>
      <x:c r="E15" s="2" t="str">
        <x:f>IF(AND(ISNUMBER('Schedule'!I24),'Schedule'!I24&gt;0,'Schedule'!B24&lt;&gt;"",'Schedule'!L24=1,OR('Schedule'!E24&lt;&gt;"sLoanInterest",'Schedule'!I24&lt;=SUM('Schedule'!F24:G24))),'Schedule'!A24,"")</x:f>
      </x:c>
      <x:c r="F15" s="2" t="str">
        <x:f>IF(AND(ISNUMBER('Schedule'!I24),'Schedule'!I24&gt;0,'Schedule'!B24&lt;&gt;"",'Schedule'!L24=1,OR('Schedule'!E24&lt;&gt;"sLoanInterest",'Schedule'!I24&lt;=SUM('Schedule'!F24:G24))),2,"")</x:f>
      </x:c>
      <x:c r="G15" s="2" t="str">
        <x:f>IF(AND(ISNUMBER('Schedule'!I24),'Schedule'!I24&gt;0,'Schedule'!B24&lt;&gt;"",'Schedule'!L24=1,OR('Schedule'!E24&lt;&gt;"sLoanInterest",'Schedule'!I24&lt;=SUM('Schedule'!F24:G24))),'Schedule'!E24,"")</x:f>
      </x:c>
      <x:c r="H15" s="2" t="str">
        <x:f>IF(AND(ISNUMBER('Schedule'!I24),'Schedule'!I24&gt;0,'Schedule'!B24&lt;&gt;"",'Schedule'!L24=1,OR('Schedule'!E24&lt;&gt;"sLoanInterest",'Schedule'!I24&lt;=SUM('Schedule'!F24:G24))),"DEV-SCHEDULE-20260909","")</x:f>
      </x:c>
    </x:row>
    <x:row r="16" ht="28" customHeight="1">
      <x:c r="A16" s="2" t="str">
        <x:f>IF(AND(ISNUMBER('Schedule'!I25),'Schedule'!I25&gt;0,'Schedule'!B25&lt;&gt;"",'Schedule'!L25=1,OR('Schedule'!E25&lt;&gt;"sLoanInterest",'Schedule'!I25&lt;=SUM('Schedule'!F25:G25))),"Swizzsoft Main","")</x:f>
      </x:c>
      <x:c r="B16" s="11" t="str">
        <x:f>IF(AND(ISNUMBER('Schedule'!I25),'Schedule'!I25&gt;0,'Schedule'!B25&lt;&gt;"",'Schedule'!L25=1,OR('Schedule'!E25&lt;&gt;"sLoanInterest",'Schedule'!I25&lt;=SUM('Schedule'!F25:G25))),'Schedule'!B25,"")</x:f>
      </x:c>
      <x:c r="C16" s="14" t="str">
        <x:f>IF(AND(ISNUMBER('Schedule'!I25),'Schedule'!I25&gt;0,'Schedule'!B25&lt;&gt;"",'Schedule'!L25=1,OR('Schedule'!E25&lt;&gt;"sLoanInterest",'Schedule'!I25&lt;=SUM('Schedule'!F25:G25))),'Schedule'!I25,"")</x:f>
      </x:c>
      <x:c r="D16" s="14" t="str">
        <x:f>IF(AND(ISNUMBER('Schedule'!I25),'Schedule'!I25&gt;0,'Schedule'!B25&lt;&gt;"",'Schedule'!L25=1,OR('Schedule'!E25&lt;&gt;"sLoanInterest",'Schedule'!I25&lt;=SUM('Schedule'!F25:G25))),SUM('Schedule'!F25:G25),"")</x:f>
      </x:c>
      <x:c r="E16" s="2" t="str">
        <x:f>IF(AND(ISNUMBER('Schedule'!I25),'Schedule'!I25&gt;0,'Schedule'!B25&lt;&gt;"",'Schedule'!L25=1,OR('Schedule'!E25&lt;&gt;"sLoanInterest",'Schedule'!I25&lt;=SUM('Schedule'!F25:G25))),'Schedule'!A25,"")</x:f>
      </x:c>
      <x:c r="F16" s="2" t="str">
        <x:f>IF(AND(ISNUMBER('Schedule'!I25),'Schedule'!I25&gt;0,'Schedule'!B25&lt;&gt;"",'Schedule'!L25=1,OR('Schedule'!E25&lt;&gt;"sLoanInterest",'Schedule'!I25&lt;=SUM('Schedule'!F25:G25))),2,"")</x:f>
      </x:c>
      <x:c r="G16" s="2" t="str">
        <x:f>IF(AND(ISNUMBER('Schedule'!I25),'Schedule'!I25&gt;0,'Schedule'!B25&lt;&gt;"",'Schedule'!L25=1,OR('Schedule'!E25&lt;&gt;"sLoanInterest",'Schedule'!I25&lt;=SUM('Schedule'!F25:G25))),'Schedule'!E25,"")</x:f>
      </x:c>
      <x:c r="H16" s="2" t="str">
        <x:f>IF(AND(ISNUMBER('Schedule'!I25),'Schedule'!I25&gt;0,'Schedule'!B25&lt;&gt;"",'Schedule'!L25=1,OR('Schedule'!E25&lt;&gt;"sLoanInterest",'Schedule'!I25&lt;=SUM('Schedule'!F25:G25))),"DEV-SCHEDULE-20260909","")</x:f>
      </x:c>
    </x:row>
    <x:row r="17" ht="28" customHeight="1">
      <x:c r="A17" s="2" t="str">
        <x:f>IF(AND(ISNUMBER('Schedule'!I26),'Schedule'!I26&gt;0,'Schedule'!B26&lt;&gt;"",'Schedule'!L26=1,OR('Schedule'!E26&lt;&gt;"sLoanInterest",'Schedule'!I26&lt;=SUM('Schedule'!F26:G26))),"Swizzsoft Main","")</x:f>
      </x:c>
      <x:c r="B17" s="11" t="str">
        <x:f>IF(AND(ISNUMBER('Schedule'!I26),'Schedule'!I26&gt;0,'Schedule'!B26&lt;&gt;"",'Schedule'!L26=1,OR('Schedule'!E26&lt;&gt;"sLoanInterest",'Schedule'!I26&lt;=SUM('Schedule'!F26:G26))),'Schedule'!B26,"")</x:f>
      </x:c>
      <x:c r="C17" s="14" t="str">
        <x:f>IF(AND(ISNUMBER('Schedule'!I26),'Schedule'!I26&gt;0,'Schedule'!B26&lt;&gt;"",'Schedule'!L26=1,OR('Schedule'!E26&lt;&gt;"sLoanInterest",'Schedule'!I26&lt;=SUM('Schedule'!F26:G26))),'Schedule'!I26,"")</x:f>
      </x:c>
      <x:c r="D17" s="14" t="str">
        <x:f>IF(AND(ISNUMBER('Schedule'!I26),'Schedule'!I26&gt;0,'Schedule'!B26&lt;&gt;"",'Schedule'!L26=1,OR('Schedule'!E26&lt;&gt;"sLoanInterest",'Schedule'!I26&lt;=SUM('Schedule'!F26:G26))),SUM('Schedule'!F26:G26),"")</x:f>
      </x:c>
      <x:c r="E17" s="2" t="str">
        <x:f>IF(AND(ISNUMBER('Schedule'!I26),'Schedule'!I26&gt;0,'Schedule'!B26&lt;&gt;"",'Schedule'!L26=1,OR('Schedule'!E26&lt;&gt;"sLoanInterest",'Schedule'!I26&lt;=SUM('Schedule'!F26:G26))),'Schedule'!A26,"")</x:f>
      </x:c>
      <x:c r="F17" s="2" t="str">
        <x:f>IF(AND(ISNUMBER('Schedule'!I26),'Schedule'!I26&gt;0,'Schedule'!B26&lt;&gt;"",'Schedule'!L26=1,OR('Schedule'!E26&lt;&gt;"sLoanInterest",'Schedule'!I26&lt;=SUM('Schedule'!F26:G26))),1,"")</x:f>
      </x:c>
      <x:c r="G17" s="2" t="str">
        <x:f>IF(AND(ISNUMBER('Schedule'!I26),'Schedule'!I26&gt;0,'Schedule'!B26&lt;&gt;"",'Schedule'!L26=1,OR('Schedule'!E26&lt;&gt;"sLoanInterest",'Schedule'!I26&lt;=SUM('Schedule'!F26:G26))),'Schedule'!E26,"")</x:f>
      </x:c>
      <x:c r="H17" s="2" t="str">
        <x:f>IF(AND(ISNUMBER('Schedule'!I26),'Schedule'!I26&gt;0,'Schedule'!B26&lt;&gt;"",'Schedule'!L26=1,OR('Schedule'!E26&lt;&gt;"sLoanInterest",'Schedule'!I26&lt;=SUM('Schedule'!F26:G26))),"DEV-SCHEDULE-20260909","")</x:f>
      </x:c>
    </x:row>
    <x:row r="18" ht="28" customHeight="1">
      <x:c r="A18" s="2" t="str">
        <x:f>IF(AND(ISNUMBER('Schedule'!I27),'Schedule'!I27&gt;0,'Schedule'!B27&lt;&gt;"",'Schedule'!L27=1,OR('Schedule'!E27&lt;&gt;"sLoanInterest",'Schedule'!I27&lt;=SUM('Schedule'!F27:G27))),"Swizzsoft Main","")</x:f>
      </x:c>
      <x:c r="B18" s="11" t="str">
        <x:f>IF(AND(ISNUMBER('Schedule'!I27),'Schedule'!I27&gt;0,'Schedule'!B27&lt;&gt;"",'Schedule'!L27=1,OR('Schedule'!E27&lt;&gt;"sLoanInterest",'Schedule'!I27&lt;=SUM('Schedule'!F27:G27))),'Schedule'!B27,"")</x:f>
      </x:c>
      <x:c r="C18" s="14" t="str">
        <x:f>IF(AND(ISNUMBER('Schedule'!I27),'Schedule'!I27&gt;0,'Schedule'!B27&lt;&gt;"",'Schedule'!L27=1,OR('Schedule'!E27&lt;&gt;"sLoanInterest",'Schedule'!I27&lt;=SUM('Schedule'!F27:G27))),'Schedule'!I27,"")</x:f>
      </x:c>
      <x:c r="D18" s="14" t="str">
        <x:f>IF(AND(ISNUMBER('Schedule'!I27),'Schedule'!I27&gt;0,'Schedule'!B27&lt;&gt;"",'Schedule'!L27=1,OR('Schedule'!E27&lt;&gt;"sLoanInterest",'Schedule'!I27&lt;=SUM('Schedule'!F27:G27))),SUM('Schedule'!F27:G27),"")</x:f>
      </x:c>
      <x:c r="E18" s="2" t="str">
        <x:f>IF(AND(ISNUMBER('Schedule'!I27),'Schedule'!I27&gt;0,'Schedule'!B27&lt;&gt;"",'Schedule'!L27=1,OR('Schedule'!E27&lt;&gt;"sLoanInterest",'Schedule'!I27&lt;=SUM('Schedule'!F27:G27))),'Schedule'!A27,"")</x:f>
      </x:c>
      <x:c r="F18" s="2" t="str">
        <x:f>IF(AND(ISNUMBER('Schedule'!I27),'Schedule'!I27&gt;0,'Schedule'!B27&lt;&gt;"",'Schedule'!L27=1,OR('Schedule'!E27&lt;&gt;"sLoanInterest",'Schedule'!I27&lt;=SUM('Schedule'!F27:G27))),2,"")</x:f>
      </x:c>
      <x:c r="G18" s="2" t="str">
        <x:f>IF(AND(ISNUMBER('Schedule'!I27),'Schedule'!I27&gt;0,'Schedule'!B27&lt;&gt;"",'Schedule'!L27=1,OR('Schedule'!E27&lt;&gt;"sLoanInterest",'Schedule'!I27&lt;=SUM('Schedule'!F27:G27))),'Schedule'!E27,"")</x:f>
      </x:c>
      <x:c r="H18" s="2" t="str">
        <x:f>IF(AND(ISNUMBER('Schedule'!I27),'Schedule'!I27&gt;0,'Schedule'!B27&lt;&gt;"",'Schedule'!L27=1,OR('Schedule'!E27&lt;&gt;"sLoanInterest",'Schedule'!I27&lt;=SUM('Schedule'!F27:G27))),"DEV-SCHEDULE-20260909","")</x:f>
      </x:c>
    </x:row>
    <x:row r="19" ht="28" customHeight="1">
      <x:c r="A19" s="2" t="str">
        <x:f>IF(AND(ISNUMBER('Schedule'!I28),'Schedule'!I28&gt;0,'Schedule'!B28&lt;&gt;"",'Schedule'!L28=1,OR('Schedule'!E28&lt;&gt;"sLoanInterest",'Schedule'!I28&lt;=SUM('Schedule'!F28:G28))),"Swizzsoft Main","")</x:f>
      </x:c>
      <x:c r="B19" s="11" t="str">
        <x:f>IF(AND(ISNUMBER('Schedule'!I28),'Schedule'!I28&gt;0,'Schedule'!B28&lt;&gt;"",'Schedule'!L28=1,OR('Schedule'!E28&lt;&gt;"sLoanInterest",'Schedule'!I28&lt;=SUM('Schedule'!F28:G28))),'Schedule'!B28,"")</x:f>
      </x:c>
      <x:c r="C19" s="14" t="str">
        <x:f>IF(AND(ISNUMBER('Schedule'!I28),'Schedule'!I28&gt;0,'Schedule'!B28&lt;&gt;"",'Schedule'!L28=1,OR('Schedule'!E28&lt;&gt;"sLoanInterest",'Schedule'!I28&lt;=SUM('Schedule'!F28:G28))),'Schedule'!I28,"")</x:f>
      </x:c>
      <x:c r="D19" s="14" t="str">
        <x:f>IF(AND(ISNUMBER('Schedule'!I28),'Schedule'!I28&gt;0,'Schedule'!B28&lt;&gt;"",'Schedule'!L28=1,OR('Schedule'!E28&lt;&gt;"sLoanInterest",'Schedule'!I28&lt;=SUM('Schedule'!F28:G28))),SUM('Schedule'!F28:G28),"")</x:f>
      </x:c>
      <x:c r="E19" s="2" t="str">
        <x:f>IF(AND(ISNUMBER('Schedule'!I28),'Schedule'!I28&gt;0,'Schedule'!B28&lt;&gt;"",'Schedule'!L28=1,OR('Schedule'!E28&lt;&gt;"sLoanInterest",'Schedule'!I28&lt;=SUM('Schedule'!F28:G28))),'Schedule'!A28,"")</x:f>
      </x:c>
      <x:c r="F19" s="2" t="str">
        <x:f>IF(AND(ISNUMBER('Schedule'!I28),'Schedule'!I28&gt;0,'Schedule'!B28&lt;&gt;"",'Schedule'!L28=1,OR('Schedule'!E28&lt;&gt;"sLoanInterest",'Schedule'!I28&lt;=SUM('Schedule'!F28:G28))),2,"")</x:f>
      </x:c>
      <x:c r="G19" s="2" t="str">
        <x:f>IF(AND(ISNUMBER('Schedule'!I28),'Schedule'!I28&gt;0,'Schedule'!B28&lt;&gt;"",'Schedule'!L28=1,OR('Schedule'!E28&lt;&gt;"sLoanInterest",'Schedule'!I28&lt;=SUM('Schedule'!F28:G28))),'Schedule'!E28,"")</x:f>
      </x:c>
      <x:c r="H19" s="2" t="str">
        <x:f>IF(AND(ISNUMBER('Schedule'!I28),'Schedule'!I28&gt;0,'Schedule'!B28&lt;&gt;"",'Schedule'!L28=1,OR('Schedule'!E28&lt;&gt;"sLoanInterest",'Schedule'!I28&lt;=SUM('Schedule'!F28:G28))),"DEV-SCHEDULE-20260909","")</x:f>
      </x:c>
    </x:row>
    <x:row r="20" ht="28" customHeight="1">
      <x:c r="A20" s="2" t="str">
        <x:f>IF(AND(ISNUMBER('Schedule'!I29),'Schedule'!I29&gt;0,'Schedule'!B29&lt;&gt;"",'Schedule'!L29=1,OR('Schedule'!E29&lt;&gt;"sLoanInterest",'Schedule'!I29&lt;=SUM('Schedule'!F29:G29))),"Swizzsoft Main","")</x:f>
      </x:c>
      <x:c r="B20" s="11" t="str">
        <x:f>IF(AND(ISNUMBER('Schedule'!I29),'Schedule'!I29&gt;0,'Schedule'!B29&lt;&gt;"",'Schedule'!L29=1,OR('Schedule'!E29&lt;&gt;"sLoanInterest",'Schedule'!I29&lt;=SUM('Schedule'!F29:G29))),'Schedule'!B29,"")</x:f>
      </x:c>
      <x:c r="C20" s="14" t="str">
        <x:f>IF(AND(ISNUMBER('Schedule'!I29),'Schedule'!I29&gt;0,'Schedule'!B29&lt;&gt;"",'Schedule'!L29=1,OR('Schedule'!E29&lt;&gt;"sLoanInterest",'Schedule'!I29&lt;=SUM('Schedule'!F29:G29))),'Schedule'!I29,"")</x:f>
      </x:c>
      <x:c r="D20" s="14" t="str">
        <x:f>IF(AND(ISNUMBER('Schedule'!I29),'Schedule'!I29&gt;0,'Schedule'!B29&lt;&gt;"",'Schedule'!L29=1,OR('Schedule'!E29&lt;&gt;"sLoanInterest",'Schedule'!I29&lt;=SUM('Schedule'!F29:G29))),SUM('Schedule'!F29:G29),"")</x:f>
      </x:c>
      <x:c r="E20" s="2" t="str">
        <x:f>IF(AND(ISNUMBER('Schedule'!I29),'Schedule'!I29&gt;0,'Schedule'!B29&lt;&gt;"",'Schedule'!L29=1,OR('Schedule'!E29&lt;&gt;"sLoanInterest",'Schedule'!I29&lt;=SUM('Schedule'!F29:G29))),'Schedule'!A29,"")</x:f>
      </x:c>
      <x:c r="F20" s="2" t="str">
        <x:f>IF(AND(ISNUMBER('Schedule'!I29),'Schedule'!I29&gt;0,'Schedule'!B29&lt;&gt;"",'Schedule'!L29=1,OR('Schedule'!E29&lt;&gt;"sLoanInterest",'Schedule'!I29&lt;=SUM('Schedule'!F29:G29))),1,"")</x:f>
      </x:c>
      <x:c r="G20" s="2" t="str">
        <x:f>IF(AND(ISNUMBER('Schedule'!I29),'Schedule'!I29&gt;0,'Schedule'!B29&lt;&gt;"",'Schedule'!L29=1,OR('Schedule'!E29&lt;&gt;"sLoanInterest",'Schedule'!I29&lt;=SUM('Schedule'!F29:G29))),'Schedule'!E29,"")</x:f>
      </x:c>
      <x:c r="H20" s="2" t="str">
        <x:f>IF(AND(ISNUMBER('Schedule'!I29),'Schedule'!I29&gt;0,'Schedule'!B29&lt;&gt;"",'Schedule'!L29=1,OR('Schedule'!E29&lt;&gt;"sLoanInterest",'Schedule'!I29&lt;=SUM('Schedule'!F29:G29))),"DEV-SCHEDULE-20260909","")</x:f>
      </x:c>
    </x:row>
    <x:row r="21" ht="28" customHeight="1">
      <x:c r="A21" s="2" t="str">
        <x:f>IF(AND(ISNUMBER('Schedule'!I30),'Schedule'!I30&gt;0,'Schedule'!B30&lt;&gt;"",'Schedule'!L30=1,OR('Schedule'!E30&lt;&gt;"sLoanInterest",'Schedule'!I30&lt;=SUM('Schedule'!F30:G30))),"Swizzsoft Main","")</x:f>
      </x:c>
      <x:c r="B21" s="11" t="str">
        <x:f>IF(AND(ISNUMBER('Schedule'!I30),'Schedule'!I30&gt;0,'Schedule'!B30&lt;&gt;"",'Schedule'!L30=1,OR('Schedule'!E30&lt;&gt;"sLoanInterest",'Schedule'!I30&lt;=SUM('Schedule'!F30:G30))),'Schedule'!B30,"")</x:f>
      </x:c>
      <x:c r="C21" s="14" t="str">
        <x:f>IF(AND(ISNUMBER('Schedule'!I30),'Schedule'!I30&gt;0,'Schedule'!B30&lt;&gt;"",'Schedule'!L30=1,OR('Schedule'!E30&lt;&gt;"sLoanInterest",'Schedule'!I30&lt;=SUM('Schedule'!F30:G30))),'Schedule'!I30,"")</x:f>
      </x:c>
      <x:c r="D21" s="14" t="str">
        <x:f>IF(AND(ISNUMBER('Schedule'!I30),'Schedule'!I30&gt;0,'Schedule'!B30&lt;&gt;"",'Schedule'!L30=1,OR('Schedule'!E30&lt;&gt;"sLoanInterest",'Schedule'!I30&lt;=SUM('Schedule'!F30:G30))),SUM('Schedule'!F30:G30),"")</x:f>
      </x:c>
      <x:c r="E21" s="2" t="str">
        <x:f>IF(AND(ISNUMBER('Schedule'!I30),'Schedule'!I30&gt;0,'Schedule'!B30&lt;&gt;"",'Schedule'!L30=1,OR('Schedule'!E30&lt;&gt;"sLoanInterest",'Schedule'!I30&lt;=SUM('Schedule'!F30:G30))),'Schedule'!A30,"")</x:f>
      </x:c>
      <x:c r="F21" s="2" t="str">
        <x:f>IF(AND(ISNUMBER('Schedule'!I30),'Schedule'!I30&gt;0,'Schedule'!B30&lt;&gt;"",'Schedule'!L30=1,OR('Schedule'!E30&lt;&gt;"sLoanInterest",'Schedule'!I30&lt;=SUM('Schedule'!F30:G30))),2,"")</x:f>
      </x:c>
      <x:c r="G21" s="2" t="str">
        <x:f>IF(AND(ISNUMBER('Schedule'!I30),'Schedule'!I30&gt;0,'Schedule'!B30&lt;&gt;"",'Schedule'!L30=1,OR('Schedule'!E30&lt;&gt;"sLoanInterest",'Schedule'!I30&lt;=SUM('Schedule'!F30:G30))),'Schedule'!E30,"")</x:f>
      </x:c>
      <x:c r="H21" s="2" t="str">
        <x:f>IF(AND(ISNUMBER('Schedule'!I30),'Schedule'!I30&gt;0,'Schedule'!B30&lt;&gt;"",'Schedule'!L30=1,OR('Schedule'!E30&lt;&gt;"sLoanInterest",'Schedule'!I30&lt;=SUM('Schedule'!F30:G30))),"DEV-SCHEDULE-20260909","")</x:f>
      </x:c>
    </x:row>
    <x:row r="22" ht="28" customHeight="1">
      <x:c r="A22" s="2" t="str">
        <x:f>IF(AND(ISNUMBER('Schedule'!I31),'Schedule'!I31&gt;0,'Schedule'!B31&lt;&gt;"",'Schedule'!L31=1,OR('Schedule'!E31&lt;&gt;"sLoanInterest",'Schedule'!I31&lt;=SUM('Schedule'!F31:G31))),"Swizzsoft Main","")</x:f>
      </x:c>
      <x:c r="B22" s="11" t="str">
        <x:f>IF(AND(ISNUMBER('Schedule'!I31),'Schedule'!I31&gt;0,'Schedule'!B31&lt;&gt;"",'Schedule'!L31=1,OR('Schedule'!E31&lt;&gt;"sLoanInterest",'Schedule'!I31&lt;=SUM('Schedule'!F31:G31))),'Schedule'!B31,"")</x:f>
      </x:c>
      <x:c r="C22" s="14" t="str">
        <x:f>IF(AND(ISNUMBER('Schedule'!I31),'Schedule'!I31&gt;0,'Schedule'!B31&lt;&gt;"",'Schedule'!L31=1,OR('Schedule'!E31&lt;&gt;"sLoanInterest",'Schedule'!I31&lt;=SUM('Schedule'!F31:G31))),'Schedule'!I31,"")</x:f>
      </x:c>
      <x:c r="D22" s="14" t="str">
        <x:f>IF(AND(ISNUMBER('Schedule'!I31),'Schedule'!I31&gt;0,'Schedule'!B31&lt;&gt;"",'Schedule'!L31=1,OR('Schedule'!E31&lt;&gt;"sLoanInterest",'Schedule'!I31&lt;=SUM('Schedule'!F31:G31))),SUM('Schedule'!F31:G31),"")</x:f>
      </x:c>
      <x:c r="E22" s="2" t="str">
        <x:f>IF(AND(ISNUMBER('Schedule'!I31),'Schedule'!I31&gt;0,'Schedule'!B31&lt;&gt;"",'Schedule'!L31=1,OR('Schedule'!E31&lt;&gt;"sLoanInterest",'Schedule'!I31&lt;=SUM('Schedule'!F31:G31))),'Schedule'!A31,"")</x:f>
      </x:c>
      <x:c r="F22" s="2" t="str">
        <x:f>IF(AND(ISNUMBER('Schedule'!I31),'Schedule'!I31&gt;0,'Schedule'!B31&lt;&gt;"",'Schedule'!L31=1,OR('Schedule'!E31&lt;&gt;"sLoanInterest",'Schedule'!I31&lt;=SUM('Schedule'!F31:G31))),1,"")</x:f>
      </x:c>
      <x:c r="G22" s="2" t="str">
        <x:f>IF(AND(ISNUMBER('Schedule'!I31),'Schedule'!I31&gt;0,'Schedule'!B31&lt;&gt;"",'Schedule'!L31=1,OR('Schedule'!E31&lt;&gt;"sLoanInterest",'Schedule'!I31&lt;=SUM('Schedule'!F31:G31))),'Schedule'!E31,"")</x:f>
      </x:c>
      <x:c r="H22" s="2" t="str">
        <x:f>IF(AND(ISNUMBER('Schedule'!I31),'Schedule'!I31&gt;0,'Schedule'!B31&lt;&gt;"",'Schedule'!L31=1,OR('Schedule'!E31&lt;&gt;"sLoanInterest",'Schedule'!I31&lt;=SUM('Schedule'!F31:G31))),"DEV-SCHEDULE-20260909","")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20" hidden="0" customWidth="1"/>
    <x:col min="4" max="4" width="19" hidden="0" customWidth="1"/>
    <x:col min="5" max="5" width="22" hidden="0" customWidth="1"/>
    <x:col min="6" max="6" width="20" hidden="0" customWidth="1"/>
    <x:col min="7" max="7" width="21" hidden="0" customWidth="1"/>
    <x:col min="8" max="8" width="22" hidden="0" customWidth="1"/>
    <x:col min="9" max="9" width="22" hidden="0" customWidth="1"/>
    <x:col min="10" max="10" width="17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4" t="str">
        <x:v>Existing loan repayment schedules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 t="str">
        <x:v>Read-only source amounts; multiple schedules are retained for review rather than added together.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10" t="str">
        <x:v>Member</x:v>
      </x:c>
      <x:c r="B6" s="10" t="str">
        <x:v>Loan Account</x:v>
      </x:c>
      <x:c r="C6" s="10" t="str">
        <x:v>Trigger</x:v>
      </x:c>
      <x:c r="D6" s="10" t="str">
        <x:v>Payment Per Period</x:v>
      </x:c>
      <x:c r="E6" s="10" t="str">
        <x:v>Principal Component</x:v>
      </x:c>
      <x:c r="F6" s="10" t="str">
        <x:v>Interest Component</x:v>
      </x:c>
      <x:c r="G6" s="10" t="str">
        <x:v>Start Date</x:v>
      </x:c>
      <x:c r="H6" s="10" t="str">
        <x:v>End Date</x:v>
      </x:c>
      <x:c r="I6" s="10" t="str">
        <x:v>Next Run Date</x:v>
      </x:c>
      <x:c r="J6" s="10" t="str">
        <x:v>Runs Per Year</x:v>
      </x:c>
    </x:row>
    <x:row r="7" ht="28" customHeight="1">
      <x:c r="A7" s="2" t="str">
        <x:v>Mr Ernest Muriithi</x:v>
      </x:c>
      <x:c r="B7" s="2" t="str">
        <x:v>001-0000005-002-001</x:v>
      </x:c>
      <x:c r="C7" s="2" t="str">
        <x:v>Payout</x:v>
      </x:c>
      <x:c r="D7" s="5" t="n">
        <x:v>85028.33</x:v>
      </x:c>
      <x:c r="E7" s="5" t="n">
        <x:v>85000</x:v>
      </x:c>
      <x:c r="F7" s="5" t="n">
        <x:v>0</x:v>
      </x:c>
      <x:c r="G7" s="15" t="n">
        <x:v>46267</x:v>
      </x:c>
      <x:c r="H7" s="15" t="n">
        <x:v>46295</x:v>
      </x:c>
      <x:c r="I7" s="15" t="n">
        <x:v>46266</x:v>
      </x:c>
      <x:c r="J7" s="2" t="n">
        <x:v>12</x:v>
      </x:c>
    </x:row>
    <x:row r="8" ht="28" customHeight="1">
      <x:c r="A8" s="2" t="str">
        <x:v>Mr Ernest Muriithi</x:v>
      </x:c>
      <x:c r="B8" s="2" t="str">
        <x:v>001-0000005-002-001</x:v>
      </x:c>
      <x:c r="C8" s="2" t="str">
        <x:v>Schedule</x:v>
      </x:c>
      <x:c r="D8" s="5" t="n">
        <x:v>1000</x:v>
      </x:c>
      <x:c r="E8" s="5" t="n">
        <x:v>1000</x:v>
      </x:c>
      <x:c r="F8" s="5" t="n">
        <x:v>0</x:v>
      </x:c>
      <x:c r="G8" s="15" t="n">
        <x:v>46266</x:v>
      </x:c>
      <x:c r="H8" s="15" t="n">
        <x:v>46296</x:v>
      </x:c>
      <x:c r="I8" s="15" t="n">
        <x:v>46296</x:v>
      </x:c>
      <x:c r="J8" s="2" t="n">
        <x:v>12</x:v>
      </x:c>
    </x:row>
    <x:row r="9" ht="28" customHeight="1">
      <x:c r="A9" s="2" t="str">
        <x:v>Mr Alfred Otieno</x:v>
      </x:c>
      <x:c r="B9" s="2" t="str">
        <x:v>001-0000007-002-002</x:v>
      </x:c>
      <x:c r="C9" s="2" t="str">
        <x:v>Schedule</x:v>
      </x:c>
      <x:c r="D9" s="5" t="n">
        <x:v>23333.33</x:v>
      </x:c>
      <x:c r="E9" s="5" t="n">
        <x:v>23333.33</x:v>
      </x:c>
      <x:c r="F9" s="5" t="n">
        <x:v>0</x:v>
      </x:c>
      <x:c r="G9" s="15" t="n">
        <x:v>46267</x:v>
      </x:c>
      <x:c r="H9" s="15" t="n">
        <x:v>46328</x:v>
      </x:c>
      <x:c r="I9" s="15" t="n">
        <x:v>46297</x:v>
      </x:c>
      <x:c r="J9" s="2" t="n">
        <x:v>12</x:v>
      </x:c>
    </x:row>
    <x:row r="10" ht="28" customHeight="1">
      <x:c r="A10" s="2" t="str">
        <x:v>Mr Dorothy Mogoi</x:v>
      </x:c>
      <x:c r="B10" s="2" t="str">
        <x:v>001-0000003-002-001</x:v>
      </x:c>
      <x:c r="C10" s="2" t="str">
        <x:v>Payout</x:v>
      </x:c>
      <x:c r="D10" s="5" t="n">
        <x:v>65021.66</x:v>
      </x:c>
      <x:c r="E10" s="5" t="n">
        <x:v>65000</x:v>
      </x:c>
      <x:c r="F10" s="5" t="n">
        <x:v>0</x:v>
      </x:c>
      <x:c r="G10" s="15" t="n">
        <x:v>46267</x:v>
      </x:c>
      <x:c r="H10" s="15" t="n">
        <x:v>46295</x:v>
      </x:c>
      <x:c r="I10" s="15" t="n">
        <x:v>46267</x:v>
      </x:c>
      <x:c r="J10" s="2" t="n">
        <x:v>12</x:v>
      </x:c>
    </x:row>
    <x:row r="11" ht="28" customHeight="1">
      <x:c r="A11" s="2" t="str">
        <x:v>Mr Seline Kimeli</x:v>
      </x:c>
      <x:c r="B11" s="2" t="str">
        <x:v>001-0000002-002-002</x:v>
      </x:c>
      <x:c r="C11" s="2" t="str">
        <x:v>Payout</x:v>
      </x:c>
      <x:c r="D11" s="5" t="n">
        <x:v>23391.66</x:v>
      </x:c>
      <x:c r="E11" s="5" t="n">
        <x:v>23333.33</x:v>
      </x:c>
      <x:c r="F11" s="5" t="n">
        <x:v>0</x:v>
      </x:c>
      <x:c r="G11" s="15" t="n">
        <x:v>46267</x:v>
      </x:c>
      <x:c r="H11" s="15" t="n">
        <x:v>46328</x:v>
      </x:c>
      <x:c r="I11" s="15" t="n">
        <x:v>46267</x:v>
      </x:c>
      <x:c r="J11" s="2" t="n">
        <x:v>12</x:v>
      </x:c>
    </x:row>
    <x:row r="12" ht="28" customHeight="1">
      <x:c r="A12" s="2" t="str">
        <x:v>Mr NAFTALI ODALO</x:v>
      </x:c>
      <x:c r="B12" s="2" t="str">
        <x:v>001-0000009-002-003</x:v>
      </x:c>
      <x:c r="C12" s="2" t="str">
        <x:v>Payout</x:v>
      </x:c>
      <x:c r="D12" s="5" t="n">
        <x:v>7466.66</x:v>
      </x:c>
      <x:c r="E12" s="5" t="n">
        <x:v>6666.66</x:v>
      </x:c>
      <x:c r="F12" s="5" t="n">
        <x:v>0</x:v>
      </x:c>
      <x:c r="G12" s="15" t="n">
        <x:v>46273</x:v>
      </x:c>
      <x:c r="H12" s="15" t="n">
        <x:v>46607</x:v>
      </x:c>
      <x:c r="I12" s="15" t="n">
        <x:v>46273</x:v>
      </x:c>
      <x:c r="J12" s="2" t="n">
        <x:v>12</x:v>
      </x:c>
    </x:row>
  </x:sheetData>
  <x:pageMargins left="0.7" right="0.7" top="0.75" bottom="0.75" header="0.3" footer="0.3"/>
</x:worksheet>
</file>